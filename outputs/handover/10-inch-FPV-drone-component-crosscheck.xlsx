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9f2e5fcfe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c217871ffd4cf0"/>
    <x:sheet xmlns:r="http://schemas.openxmlformats.org/officeDocument/2006/relationships" name="All Items" sheetId="2" r:id="R4213f2c3b28b4c45"/>
    <x:sheet xmlns:r="http://schemas.openxmlformats.org/officeDocument/2006/relationships" name="Present" sheetId="3" r:id="R5347ba0f42ff472d"/>
    <x:sheet xmlns:r="http://schemas.openxmlformats.org/officeDocument/2006/relationships" name="Missing" sheetId="4" r:id="R6c213cadd69b4696"/>
    <x:sheet xmlns:r="http://schemas.openxmlformats.org/officeDocument/2006/relationships" name="Partial - Verify" sheetId="5" r:id="R8decb0f9139f4ac9"/>
    <x:sheet xmlns:r="http://schemas.openxmlformats.org/officeDocument/2006/relationships" name="Conditional" sheetId="6" r:id="R50e3b8b8160a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24364B"/>
      <x:name val="Arial"/>
    </x:font>
    <x:font>
      <x:i/>
      <x:sz val="10"/>
      <x:color rgb="FF52616B"/>
      <x:name val="Arial"/>
    </x:font>
    <x:font>
      <x:i/>
      <x:sz val="9"/>
      <x:color rgb="FF52616B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DCEAF2"/>
      </x:patternFill>
    </x:fill>
  </x:fills>
  <x:borders count="5">
    <x:border/>
    <x:border>
      <x:bottom style="thin">
        <x:color rgb="FFB8C2CC"/>
      </x:bottom>
    </x:border>
    <x:border>
      <x:top style="medium">
        <x:color rgb="FF356A8A"/>
      </x:top>
    </x:border>
    <x:border>
      <x:bottom style="medium">
        <x:color rgb="FF24364B"/>
      </x:bottom>
    </x:border>
    <x:border>
      <x:bottom style="thin">
        <x:color rgb="FFD9E0E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6" fillId="3" borderId="2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6" fillId="3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vertical="top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a0482e4a04c3f" /><Relationship Type="http://schemas.openxmlformats.org/officeDocument/2006/relationships/theme" Target="/xl/theme/theme1.xml" Id="Re148535823a3490f" /><Relationship Type="http://schemas.openxmlformats.org/officeDocument/2006/relationships/sharedStrings" Target="/xl/sharedStrings.xml" Id="R6e9f2b8c293b44f7" /><Relationship Type="http://schemas.openxmlformats.org/officeDocument/2006/relationships/worksheet" Target="/xl/worksheets/sheet1.xml" Id="R41c217871ffd4cf0" /><Relationship Type="http://schemas.openxmlformats.org/officeDocument/2006/relationships/worksheet" Target="/xl/worksheets/sheet2.xml" Id="R4213f2c3b28b4c45" /><Relationship Type="http://schemas.openxmlformats.org/officeDocument/2006/relationships/worksheet" Target="/xl/worksheets/sheet3.xml" Id="R5347ba0f42ff472d" /><Relationship Type="http://schemas.openxmlformats.org/officeDocument/2006/relationships/worksheet" Target="/xl/worksheets/sheet4.xml" Id="R6c213cadd69b4696" /><Relationship Type="http://schemas.openxmlformats.org/officeDocument/2006/relationships/worksheet" Target="/xl/worksheets/sheet5.xml" Id="R8decb0f9139f4ac9" /><Relationship Type="http://schemas.openxmlformats.org/officeDocument/2006/relationships/worksheet" Target="/xl/worksheets/sheet6.xml" Id="R50e3b8b8160a4552" /></Relationships>
</file>

<file path=xl/tables/table1.xml><?xml version="1.0" encoding="utf-8"?>
<x:table xmlns:x="http://schemas.openxmlformats.org/spreadsheetml/2006/main" id="1" name="AllItemsTable" displayName="AllItemsTable" ref="A5:H40" headerRowCount="1" totalsRowCount="0" totalsRowShown="0">
  <x:autoFilter ref="A5:H40"/>
  <x:tableColumns count="8">
    <x:tableColumn id="1" name="ID"/>
    <x:tableColumn id="2" name="Original category"/>
    <x:tableColumn id="3" name="Component or material"/>
    <x:tableColumn id="4" name="Quantity / specification"/>
    <x:tableColumn id="5" name="Cross-check status"/>
    <x:tableColumn id="6" name="Spreadsheet match"/>
    <x:tableColumn id="7" name="Source reference"/>
    <x:tableColumn id="8" name="Anno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sentItemsTable" displayName="PresentItemsTable" ref="A5:H28" headerRowCount="1" totalsRowCount="0" totalsRowShown="0">
  <x:autoFilter ref="A5:H28"/>
  <x:tableColumns count="8">
    <x:tableColumn id="1" name="ID"/>
    <x:tableColumn id="2" name="Original category"/>
    <x:tableColumn id="3" name="Component or material"/>
    <x:tableColumn id="4" name="Quantity / specification"/>
    <x:tableColumn id="5" name="Cross-check status"/>
    <x:tableColumn id="6" name="Spreadsheet match"/>
    <x:tableColumn id="7" name="Source reference"/>
    <x:tableColumn id="8" name="Anno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ItemsTable" displayName="MissingItemsTable" ref="A5:H12" headerRowCount="1" totalsRowCount="0" totalsRowShown="0">
  <x:autoFilter ref="A5:H12"/>
  <x:tableColumns count="8">
    <x:tableColumn id="1" name="ID"/>
    <x:tableColumn id="2" name="Original category"/>
    <x:tableColumn id="3" name="Component or material"/>
    <x:tableColumn id="4" name="Quantity / specification"/>
    <x:tableColumn id="5" name="Cross-check status"/>
    <x:tableColumn id="6" name="Spreadsheet match"/>
    <x:tableColumn id="7" name="Source reference"/>
    <x:tableColumn id="8" name="Anno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ialVerifyTable" displayName="PartialVerifyTable" ref="A5:H9" headerRowCount="1" totalsRowCount="0" totalsRowShown="0">
  <x:autoFilter ref="A5:H9"/>
  <x:tableColumns count="8">
    <x:tableColumn id="1" name="ID"/>
    <x:tableColumn id="2" name="Original category"/>
    <x:tableColumn id="3" name="Component or material"/>
    <x:tableColumn id="4" name="Quantity / specification"/>
    <x:tableColumn id="5" name="Cross-check status"/>
    <x:tableColumn id="6" name="Spreadsheet match"/>
    <x:tableColumn id="7" name="Source reference"/>
    <x:tableColumn id="8" name="Anno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ditionalItemsTable" displayName="ConditionalItemsTable" ref="A5:H6" headerRowCount="1" totalsRowCount="0" totalsRowShown="0">
  <x:autoFilter ref="A5:H6"/>
  <x:tableColumns count="8">
    <x:tableColumn id="1" name="ID"/>
    <x:tableColumn id="2" name="Original category"/>
    <x:tableColumn id="3" name="Component or material"/>
    <x:tableColumn id="4" name="Quantity / specification"/>
    <x:tableColumn id="5" name="Cross-check status"/>
    <x:tableColumn id="6" name="Spreadsheet match"/>
    <x:tableColumn id="7" name="Source reference"/>
    <x:tableColumn id="8" name="Anno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c5cf46de4e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64ca12f3c2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ac2ba9de074a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9f054825cf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1dbbb41d884345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7" hidden="0" customWidth="1"/>
    <x:col min="2" max="2" width="30" hidden="0" customWidth="1"/>
    <x:col min="3" max="3" width="68" hidden="0" customWidth="1"/>
  </x:cols>
  <x:sheetData>
    <x:row r="1" ht="24" hidden="0" customHeight="1">
      <x:c r="A1" s="16" t="str">
        <x:v>10-inch FPV drone build</x:v>
      </x:c>
      <x:c r="B1" s="16"/>
      <x:c r="C1" s="16"/>
      <x:c r="D1" s="4"/>
      <x:c r="E1" s="4"/>
      <x:c r="F1" s="4"/>
      <x:c r="G1" s="4"/>
      <x:c r="H1" s="4"/>
    </x:row>
    <x:row r="2" ht="20" hidden="0" customHeight="1">
      <x:c r="A2" s="17" t="str">
        <x:v>Annotated component checklist</x:v>
      </x:c>
      <x:c r="B2" s="17"/>
      <x:c r="C2" s="17"/>
      <x:c r="D2" s="8"/>
      <x:c r="E2" s="8"/>
      <x:c r="F2" s="8"/>
      <x:c r="G2" s="8"/>
      <x:c r="H2" s="8"/>
    </x:row>
    <x:row r="3" ht="20" hidden="0" customHeight="1">
      <x:c r="A3" s="18" t="str">
        <x:v>Source: On_Hand_and_Ordered.xlsx</x:v>
      </x:c>
      <x:c r="B3" s="18" t="str">
        <x:v>Wishlist, ordered, and inventory entries are treated as available.</x:v>
      </x:c>
      <x:c r="C3" s="18"/>
    </x:row>
    <x:row r="4" ht="15" hidden="0" customHeight="1">
      <x:c r="A4" s="19"/>
      <x:c r="B4" s="19"/>
      <x:c r="C4" s="19"/>
    </x:row>
    <x:row r="5" ht="15" hidden="0" customHeight="1">
      <x:c r="A5" s="20" t="str">
        <x:v>Cross-check status</x:v>
      </x:c>
      <x:c r="B5" s="20" t="str">
        <x:v>Item count</x:v>
      </x:c>
      <x:c r="C5" s="20" t="str">
        <x:v>Meaning</x:v>
      </x:c>
    </x:row>
    <x:row r="6" ht="24" hidden="0" customHeight="1">
      <x:c r="A6" s="19" t="str">
        <x:v>Present</x:v>
      </x:c>
      <x:c r="B6" s="23" t="n">
        <x:f>COUNTIF('All Items'!$E$6:$E$40,A6)</x:f>
        <x:v>23</x:v>
      </x:c>
      <x:c r="C6" s="19" t="str">
        <x:v>A reasonable spreadsheet match was found; wishlist and ordered entries count as available.</x:v>
      </x:c>
    </x:row>
    <x:row r="7" ht="15" hidden="0" customHeight="1">
      <x:c r="A7" s="19" t="str">
        <x:v>Missing</x:v>
      </x:c>
      <x:c r="B7" s="23" t="n">
        <x:f>COUNTIF('All Items'!$E$6:$E$40,A7)</x:f>
        <x:v>7</x:v>
      </x:c>
      <x:c r="C7" s="19" t="str">
        <x:v>No matching item was found in the inventory spreadsheet.</x:v>
      </x:c>
    </x:row>
    <x:row r="8" ht="15" hidden="0" customHeight="1">
      <x:c r="A8" s="19" t="str">
        <x:v>Partial</x:v>
      </x:c>
      <x:c r="B8" s="23" t="n">
        <x:f>COUNTIF('All Items'!$E$6:$E$40,A8)</x:f>
        <x:v>3</x:v>
      </x:c>
      <x:c r="C8" s="19" t="str">
        <x:v>Part of the combined checklist item is listed, but one or more required pieces are absent.</x:v>
      </x:c>
    </x:row>
    <x:row r="9" ht="15" hidden="0" customHeight="1">
      <x:c r="A9" s="19" t="str">
        <x:v>Verify</x:v>
      </x:c>
      <x:c r="B9" s="23" t="n">
        <x:f>COUNTIF('All Items'!$E$6:$E$40,A9)</x:f>
        <x:v>1</x:v>
      </x:c>
      <x:c r="C9" s="19" t="str">
        <x:v>A possible match exists, but the spreadsheet lacks a critical specification.</x:v>
      </x:c>
    </x:row>
    <x:row r="10" ht="15" hidden="0" customHeight="1">
      <x:c r="A10" s="19" t="str">
        <x:v>Conditional</x:v>
      </x:c>
      <x:c r="B10" s="23" t="n">
        <x:f>COUNTIF('All Items'!$E$6:$E$40,A10)</x:f>
        <x:v>1</x:v>
      </x:c>
      <x:c r="C10" s="19" t="str">
        <x:v>Not listed, but only needed if the stated regulatory or build condition applies.</x:v>
      </x:c>
    </x:row>
    <x:row r="11" ht="15" hidden="0" customHeight="1">
      <x:c r="A11" s="21" t="str">
        <x:v>Total</x:v>
      </x:c>
      <x:c r="B11" s="24" t="n">
        <x:f>SUM(B6:B10)</x:f>
        <x:v>35</x:v>
      </x:c>
      <x:c r="C11" s="21"/>
    </x:row>
    <x:row r="12" ht="15" hidden="0" customHeight="1">
      <x:c r="A12" s="19"/>
      <x:c r="B12" s="23"/>
      <x:c r="C12" s="19"/>
    </x:row>
    <x:row r="13" ht="15" hidden="0" customHeight="1">
      <x:c r="A13" s="19"/>
      <x:c r="B13" s="23"/>
      <x:c r="C13" s="19"/>
    </x:row>
    <x:row r="14" ht="15" hidden="0" customHeight="1">
      <x:c r="A14" s="20" t="str">
        <x:v>Original checklist section</x:v>
      </x:c>
      <x:c r="B14" s="20" t="str">
        <x:v>Item count</x:v>
      </x:c>
      <x:c r="C14" s="20" t="str">
        <x:v>Scope</x:v>
      </x:c>
    </x:row>
    <x:row r="15" ht="15" hidden="0" customHeight="1">
      <x:c r="A15" s="19" t="str">
        <x:v>Required additions</x:v>
      </x:c>
      <x:c r="B15" s="23" t="n">
        <x:f>COUNTIF('All Items'!$B$6:$B$40,A15)</x:f>
        <x:v>14</x:v>
      </x:c>
      <x:c r="C15" s="19" t="str">
        <x:v>Core parts needed to complete the 4S build</x:v>
      </x:c>
    </x:row>
    <x:row r="16" ht="15" hidden="0" customHeight="1">
      <x:c r="A16" s="19" t="str">
        <x:v>Wiring and mounting</x:v>
      </x:c>
      <x:c r="B16" s="23" t="n">
        <x:f>COUNTIF('All Items'!$B$6:$B$40,A16)</x:f>
        <x:v>11</x:v>
      </x:c>
      <x:c r="C16" s="19" t="str">
        <x:v>Connectors, protection, fasteners, and mounts</x:v>
      </x:c>
    </x:row>
    <x:row r="17" ht="15" hidden="0" customHeight="1">
      <x:c r="A17" s="19" t="str">
        <x:v>Strongly recommended</x:v>
      </x:c>
      <x:c r="B17" s="23" t="n">
        <x:f>COUNTIF('All Items'!$B$6:$B$40,A17)</x:f>
        <x:v>10</x:v>
      </x:c>
      <x:c r="C17" s="19" t="str">
        <x:v>Setup, diagnostic, safety, and compliance items</x:v>
      </x:c>
    </x:row>
    <x:row r="18" ht="15" hidden="0" customHeight="1">
      <x:c r="A18" s="19"/>
      <x:c r="B18" s="19"/>
      <x:c r="C18" s="19"/>
    </x:row>
    <x:row r="19" ht="15" hidden="0" customHeight="1">
      <x:c r="A19" s="19"/>
      <x:c r="B19" s="19"/>
      <x:c r="C19" s="19"/>
    </x:row>
    <x:row r="20" ht="15" hidden="0" customHeight="1">
      <x:c r="A20" s="22" t="str">
        <x:v>Cross-check basis</x:v>
      </x:c>
      <x:c r="B20" s="22"/>
      <x:c r="C20" s="22"/>
    </x:row>
    <x:row r="21" ht="15" hidden="0" customHeight="1">
      <x:c r="A21" s="19" t="str">
        <x:v>Source workbook</x:v>
      </x:c>
      <x:c r="B21" s="19" t="str">
        <x:v>On_Hand_and_Ordered.xlsx</x:v>
      </x:c>
      <x:c r="C21" s="19" t="str">
        <x:v>Equipment Distribution!A1:D499</x:v>
      </x:c>
    </x:row>
    <x:row r="22" ht="15" hidden="0" customHeight="1">
      <x:c r="A22" s="19" t="str">
        <x:v>Availability rule</x:v>
      </x:c>
      <x:c r="B22" s="19" t="str">
        <x:v>All list types count</x:v>
      </x:c>
      <x:c r="C22" s="19" t="str">
        <x:v>Current inventory, ordered, and wishlist entries were accepted as accessible.</x:v>
      </x:c>
    </x:row>
    <x:row r="23" ht="24" hidden="0" customHeight="1">
      <x:c r="A23" s="19" t="str">
        <x:v>Matching rule</x:v>
      </x:c>
      <x:c r="B23" s="19" t="str">
        <x:v>Functional match</x:v>
      </x:c>
      <x:c r="C23" s="19" t="str">
        <x:v>A close functional match counts as present; incomplete bundles are partial; unspecified critical attributes require verification.</x:v>
      </x:c>
    </x:row>
  </x:sheetData>
  <x:conditionalFormatting sqref="A6:A10">
    <x:cfRule type="containsText" dxfId="0" priority="1" operator="containsText" text="Present"/>
    <x:cfRule type="containsText" dxfId="1" priority="2" operator="containsText" text="Missing"/>
    <x:cfRule type="containsText" dxfId="2" priority="3" operator="containsText" text="Partial"/>
    <x:cfRule type="containsText" dxfId="3" priority="4" operator="containsText" text="Verify"/>
    <x:cfRule type="containsText" dxfId="4" priority="5" operator="containsText" text="Condition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A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28" hidden="0" customWidth="1"/>
    <x:col min="5" max="5" width="16" hidden="0" customWidth="1"/>
    <x:col min="6" max="6" width="45" hidden="0" customWidth="1"/>
    <x:col min="7" max="7" width="33" hidden="0" customWidth="1"/>
    <x:col min="8" max="8" width="48" hidden="0" customWidth="1"/>
  </x:cols>
  <x:sheetData>
    <x:row r="1" ht="22" customHeight="1">
      <x:c r="A1" s="3" t="str">
        <x:v>Complete annotated checklist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Every item from the original additional-components list, with the result and source evidence from the inventory cross-check.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28" t="str">
        <x:v>ID</x:v>
      </x:c>
      <x:c r="B5" s="28" t="str">
        <x:v>Original category</x:v>
      </x:c>
      <x:c r="C5" s="28" t="str">
        <x:v>Component or material</x:v>
      </x:c>
      <x:c r="D5" s="28" t="str">
        <x:v>Quantity / specification</x:v>
      </x:c>
      <x:c r="E5" s="28" t="str">
        <x:v>Cross-check status</x:v>
      </x:c>
      <x:c r="F5" s="28" t="str">
        <x:v>Spreadsheet match</x:v>
      </x:c>
      <x:c r="G5" s="28" t="str">
        <x:v>Source reference</x:v>
      </x:c>
      <x:c r="H5" s="28" t="str">
        <x:v>Annotation</x:v>
      </x:c>
    </x:row>
    <x:row r="6" ht="96" hidden="0" customHeight="1">
      <x:c r="A6" s="23" t="n">
        <x:v>1</x:v>
      </x:c>
      <x:c r="B6" s="19" t="str">
        <x:v>Required additions</x:v>
      </x:c>
      <x:c r="C6" s="19" t="str">
        <x:v>Three additional iFlight XING2 3110 900KV motors</x:v>
      </x:c>
      <x:c r="D6" s="19" t="str">
        <x:v>3 additional motors</x:v>
      </x:c>
      <x:c r="E6" s="23" t="str">
        <x:v>Present</x:v>
      </x:c>
      <x:c r="F6" s="19" t="str">
        <x:v>iFlight XING2 3110 Cinelifter Motor - 900KV; quantity 120</x:v>
      </x:c>
      <x:c r="G6" s="19" t="str">
        <x:v>Equipment Distribution!A393:D393</x:v>
      </x:c>
      <x:c r="H6" s="19" t="str">
        <x:v>Spreadsheet quantity is more than sufficient for a four-motor build.</x:v>
      </x:c>
    </x:row>
    <x:row r="7" ht="132" hidden="0" customHeight="1">
      <x:c r="A7" s="23" t="n">
        <x:v>2</x:v>
      </x:c>
      <x:c r="B7" s="19" t="str">
        <x:v>Required additions</x:v>
      </x:c>
      <x:c r="C7" s="19" t="str">
        <x:v>Additional Gemfan 1050 propeller package</x:v>
      </x:c>
      <x:c r="D7" s="19" t="str">
        <x:v>Enough for 2 CW and 2 CCW props</x:v>
      </x:c>
      <x:c r="E7" s="23" t="str">
        <x:v>Present</x:v>
      </x:c>
      <x:c r="F7" s="19" t="str">
        <x:v>Gemfan Cinelifter 1050 reinforced glass-fiber nylon props; quantity 54</x:v>
      </x:c>
      <x:c r="G7" s="19" t="str">
        <x:v>Equipment Distribution!A402:D402</x:v>
      </x:c>
      <x:c r="H7" s="19" t="str">
        <x:v>Confirm each package contains the required CW/CCW pair arrangement before assembly.</x:v>
      </x:c>
    </x:row>
    <x:row r="8" ht="120" hidden="0" customHeight="1">
      <x:c r="A8" s="23" t="n">
        <x:v>3</x:v>
      </x:c>
      <x:c r="B8" s="19" t="str">
        <x:v>Required additions</x:v>
      </x:c>
      <x:c r="C8" s="19" t="str">
        <x:v>Analog FPV camera</x:v>
      </x:c>
      <x:c r="D8" s="19" t="str">
        <x:v>19-20 mm, CVBS, compatible with Rush analog VTX</x:v>
      </x:c>
      <x:c r="E8" s="23" t="str">
        <x:v>Present</x:v>
      </x:c>
      <x:c r="F8" s="19" t="str">
        <x:v>Fat Shark Aura Analog FPV Camera and FPV Analog Cameras inventory</x:v>
      </x:c>
      <x:c r="G8" s="19" t="str">
        <x:v>Equipment Distribution!A422:D422; A431:D431</x:v>
      </x:c>
      <x:c r="H8" s="19" t="str">
        <x:v>Select a camera with CVBS output and a frame-compatible mounting width.</x:v>
      </x:c>
    </x:row>
    <x:row r="9" ht="132" hidden="0" customHeight="1">
      <x:c r="A9" s="23" t="n">
        <x:v>4</x:v>
      </x:c>
      <x:c r="B9" s="19" t="str">
        <x:v>Required additions</x:v>
      </x:c>
      <x:c r="C9" s="19" t="str">
        <x:v>Separate microSD card for LUX F765</x:v>
      </x:c>
      <x:c r="D9" s="19" t="str">
        <x:v>Preferably 8-32 GB, FAT32</x:v>
      </x:c>
      <x:c r="E9" s="23" t="str">
        <x:v>Present</x:v>
      </x:c>
      <x:c r="F9" s="19" t="str">
        <x:v>SanDisk 32GB Ultra microSDHC cards</x:v>
      </x:c>
      <x:c r="G9" s="19" t="str">
        <x:v>Equipment Distribution!A377:D377</x:v>
      </x:c>
      <x:c r="H9" s="19" t="str">
        <x:v>Use a dedicated card for the flight controller; keep the 64GB card for the Raspberry Pi.</x:v>
      </x:c>
    </x:row>
    <x:row r="10" ht="60" hidden="0" customHeight="1">
      <x:c r="A10" s="23" t="n">
        <x:v>5</x:v>
      </x:c>
      <x:c r="B10" s="19" t="str">
        <x:v>Required additions</x:v>
      </x:c>
      <x:c r="C10" s="19" t="str">
        <x:v>Regulated 5V BEC for Raspberry Pi</x:v>
      </x:c>
      <x:c r="D10" s="19" t="str">
        <x:v>4S input; at least 3A output</x:v>
      </x:c>
      <x:c r="E10" s="23" t="str">
        <x:v>Present</x:v>
      </x:c>
      <x:c r="F10" s="19" t="str">
        <x:v>DROK 9-36V to 5V, 3.5-6A buck converter</x:v>
      </x:c>
      <x:c r="G10" s="19" t="str">
        <x:v>Equipment Distribution!A367:D367</x:v>
      </x:c>
      <x:c r="H10" s="19" t="str">
        <x:v>A 4S pack is within the listed input range.</x:v>
      </x:c>
    </x:row>
    <x:row r="11" ht="120" hidden="0" customHeight="1">
      <x:c r="A11" s="23" t="n">
        <x:v>6</x:v>
      </x:c>
      <x:c r="B11" s="19" t="str">
        <x:v>Required additions</x:v>
      </x:c>
      <x:c r="C11" s="19" t="str">
        <x:v>Raspberry Pi camera ribbon cable</x:v>
      </x:c>
      <x:c r="D11" s="19" t="str">
        <x:v>15-pin to 22-pin Standard-to-Mini CSI cable</x:v>
      </x:c>
      <x:c r="E11" s="23" t="str">
        <x:v>Present</x:v>
      </x:c>
      <x:c r="F11" s="19" t="str">
        <x:v>Arducam kit includes 15-to-22-pin ribbon; separate 22-to-15-pin CSI cable also listed</x:v>
      </x:c>
      <x:c r="G11" s="19" t="str">
        <x:v>Equipment Distribution!A417:D419</x:v>
      </x:c>
      <x:c r="H11" s="19" t="str">
        <x:v>Choose the length that reaches the Pi without folding sharply or contacting propellers.</x:v>
      </x:c>
    </x:row>
    <x:row r="12" ht="108" hidden="0" customHeight="1">
      <x:c r="A12" s="23" t="n">
        <x:v>7</x:v>
      </x:c>
      <x:c r="B12" s="19" t="str">
        <x:v>Required additions</x:v>
      </x:c>
      <x:c r="C12" s="19" t="str">
        <x:v>XT60 battery pigtail for ESC</x:v>
      </x:c>
      <x:c r="D12" s="19" t="str">
        <x:v>XT60 with suitable high-current silicone wire</x:v>
      </x:c>
      <x:c r="E12" s="23" t="str">
        <x:v>Present</x:v>
      </x:c>
      <x:c r="F12" s="19" t="str">
        <x:v>XT60 male/female connectors with 14AWG silicone wire</x:v>
      </x:c>
      <x:c r="G12" s="19" t="str">
        <x:v>Equipment Distribution!A293:D293</x:v>
      </x:c>
      <x:c r="H12" s="19" t="str">
        <x:v>Use the connector polarity required by the battery and verify it before soldering.</x:v>
      </x:c>
    </x:row>
    <x:row r="13" ht="156" hidden="0" customHeight="1">
      <x:c r="A13" s="23" t="n">
        <x:v>8</x:v>
      </x:c>
      <x:c r="B13" s="19" t="str">
        <x:v>Required additions</x:v>
      </x:c>
      <x:c r="C13" s="19" t="str">
        <x:v>Low-ESR capacitor for ESC battery pads</x:v>
      </x:c>
      <x:c r="D13" s="19" t="str">
        <x:v>Approximately 1000-2200uF, 35-50V</x:v>
      </x:c>
      <x:c r="E13" s="23" t="str">
        <x:v>Present</x:v>
      </x:c>
      <x:c r="F13" s="19" t="str">
        <x:v>35YXJ1000M12.5X20 capacitor; quantity 50</x:v>
      </x:c>
      <x:c r="G13" s="19" t="str">
        <x:v>Equipment Distribution!A357:D357</x:v>
      </x:c>
      <x:c r="H13" s="19" t="str">
        <x:v>The listed part appears to be a 35V 1000uF YXJ-series capacitor; verify markings before installation.</x:v>
      </x:c>
    </x:row>
    <x:row r="14" ht="108" hidden="0" customHeight="1">
      <x:c r="A14" s="23" t="n">
        <x:v>9</x:v>
      </x:c>
      <x:c r="B14" s="19" t="str">
        <x:v>Required additions</x:v>
      </x:c>
      <x:c r="C14" s="19" t="str">
        <x:v>M5 propeller locknuts</x:v>
      </x:c>
      <x:c r="D14" s="19" t="str">
        <x:v>4 locknuts/nyloc nuts</x:v>
      </x:c>
      <x:c r="E14" s="23" t="str">
        <x:v>Missing</x:v>
      </x:c>
      <x:c r="F14" s="19" t="str">
        <x:v>No M5, locknut, or nyloc-nut entry found</x:v>
      </x:c>
      <x:c r="G14" s="19" t="str">
        <x:v>Full inventory cross-check</x:v>
      </x:c>
      <x:c r="H14" s="19" t="str">
        <x:v>Confirm whether the XING2 motors include locknuts; otherwise obtain four.</x:v>
      </x:c>
    </x:row>
    <x:row r="15" ht="168" hidden="0" customHeight="1">
      <x:c r="A15" s="23" t="n">
        <x:v>10</x:v>
      </x:c>
      <x:c r="B15" s="19" t="str">
        <x:v>Required additions</x:v>
      </x:c>
      <x:c r="C15" s="19" t="str">
        <x:v>Strong battery straps</x:v>
      </x:c>
      <x:c r="D15" s="19" t="str">
        <x:v>At least 2 suitable straps</x:v>
      </x:c>
      <x:c r="E15" s="23" t="str">
        <x:v>Present</x:v>
      </x:c>
      <x:c r="F15" s="19" t="str">
        <x:v>16mm x 400mm rubberized straps and 15mm x 250mm UAV battery straps</x:v>
      </x:c>
      <x:c r="G15" s="19" t="str">
        <x:v>Equipment Distribution!A292:D304; A414:D414</x:v>
      </x:c>
      <x:c r="H15" s="19" t="str">
        <x:v>Use straps long enough to pass through the Rekon10 frame and fully overlap around the 4S pack.</x:v>
      </x:c>
    </x:row>
    <x:row r="16" ht="120" hidden="0" customHeight="1">
      <x:c r="A16" s="23" t="n">
        <x:v>11</x:v>
      </x:c>
      <x:c r="B16" s="19" t="str">
        <x:v>Required additions</x:v>
      </x:c>
      <x:c r="C16" s="19" t="str">
        <x:v>4S LiPo balance charger and XT60 connection</x:v>
      </x:c>
      <x:c r="D16" s="19" t="str">
        <x:v>Charger supporting 4S LiPo plus balance and main leads</x:v>
      </x:c>
      <x:c r="E16" s="23" t="str">
        <x:v>Present</x:v>
      </x:c>
      <x:c r="F16" s="19" t="str">
        <x:v>Hota D6 Pro, iCharger 465 Duo, 4S balance lead, and XT60 connector entries</x:v>
      </x:c>
      <x:c r="G16" s="19" t="str">
        <x:v>Equipment Distribution!A285:D285; A293:D293; A345:D346</x:v>
      </x:c>
      <x:c r="H16" s="19" t="str">
        <x:v>Verify the charger's output connection and balance-board wiring before charging.</x:v>
      </x:c>
    </x:row>
    <x:row r="17" ht="120" hidden="0" customHeight="1">
      <x:c r="A17" s="23" t="n">
        <x:v>12</x:v>
      </x:c>
      <x:c r="B17" s="19" t="str">
        <x:v>Required additions</x:v>
      </x:c>
      <x:c r="C17" s="19" t="str">
        <x:v>2.4GHz ExpressLRS transmitter or ELRS radio</x:v>
      </x:c>
      <x:c r="D17" s="19" t="str">
        <x:v>Compatible with Matek ELRS-R24-D receiver</x:v>
      </x:c>
      <x:c r="E17" s="23" t="str">
        <x:v>Present</x:v>
      </x:c>
      <x:c r="F17" s="19" t="str">
        <x:v>RadioMaster radios and Nomad transmitter module</x:v>
      </x:c>
      <x:c r="G17" s="19" t="str">
        <x:v>Equipment Distribution!A279:D280; A490:D490</x:v>
      </x:c>
      <x:c r="H17" s="19" t="str">
        <x:v>Confirm the selected radio/module is configured for 2.4GHz ExpressLRS.</x:v>
      </x:c>
    </x:row>
    <x:row r="18" ht="108" hidden="0" customHeight="1">
      <x:c r="A18" s="23" t="n">
        <x:v>13</x:v>
      </x:c>
      <x:c r="B18" s="19" t="str">
        <x:v>Required additions</x:v>
      </x:c>
      <x:c r="C18" s="19" t="str">
        <x:v>5.8GHz analog FPV goggles or receiver/monitor</x:v>
      </x:c>
      <x:c r="D18" s="19" t="str">
        <x:v>Analog 5.8GHz video reception</x:v>
      </x:c>
      <x:c r="E18" s="23" t="str">
        <x:v>Present</x:v>
      </x:c>
      <x:c r="F18" s="19" t="str">
        <x:v>Orca goggles and Analog Fat Shark receiver module</x:v>
      </x:c>
      <x:c r="G18" s="19" t="str">
        <x:v>Equipment Distribution!A239:D239; A253:D253</x:v>
      </x:c>
      <x:c r="H18" s="19" t="str">
        <x:v>Confirm the receiver module is installed and compatible with the goggles.</x:v>
      </x:c>
    </x:row>
    <x:row r="19" ht="144" hidden="0" customHeight="1">
      <x:c r="A19" s="23" t="n">
        <x:v>14</x:v>
      </x:c>
      <x:c r="B19" s="19" t="str">
        <x:v>Required additions</x:v>
      </x:c>
      <x:c r="C19" s="19" t="str">
        <x:v>Matching goggle antenna</x:v>
      </x:c>
      <x:c r="D19" s="19" t="str">
        <x:v>5.8GHz antenna with correct connector and polarization</x:v>
      </x:c>
      <x:c r="E19" s="23" t="str">
        <x:v>Present</x:v>
      </x:c>
      <x:c r="F19" s="19" t="str">
        <x:v>Several 5.8GHz RHCP/LHCP SMA antennas and a goggle antenna set</x:v>
      </x:c>
      <x:c r="G19" s="19" t="str">
        <x:v>Equipment Distribution!A66:D80</x:v>
      </x:c>
      <x:c r="H19" s="19" t="str">
        <x:v>Match RHCP/LHCP polarization and SMA/RP-SMA connector type to the selected VTX and goggles.</x:v>
      </x:c>
    </x:row>
    <x:row r="20" ht="168" hidden="0" customHeight="1">
      <x:c r="A20" s="23" t="n">
        <x:v>15</x:v>
      </x:c>
      <x:c r="B20" s="19" t="str">
        <x:v>Wiring and mounting</x:v>
      </x:c>
      <x:c r="C20" s="19" t="str">
        <x:v>JST-SH 1.0mm connector/pigtail assortment</x:v>
      </x:c>
      <x:c r="D20" s="19" t="str">
        <x:v>For LUX F765 flight-controller ports</x:v>
      </x:c>
      <x:c r="E20" s="23" t="str">
        <x:v>Present</x:v>
      </x:c>
      <x:c r="F20" s="19" t="str">
        <x:v>JST Connector Kit 1.0mm Pitch</x:v>
      </x:c>
      <x:c r="G20" s="19" t="str">
        <x:v>Equipment Distribution!A370:D370</x:v>
      </x:c>
      <x:c r="H20" s="19" t="str">
        <x:v>Verify that the kit is JST-SH rather than another 1.0mm series and that housings, crimps, or pigtails are included.</x:v>
      </x:c>
    </x:row>
    <x:row r="21" ht="132" hidden="0" customHeight="1">
      <x:c r="A21" s="23" t="n">
        <x:v>16</x:v>
      </x:c>
      <x:c r="B21" s="19" t="str">
        <x:v>Wiring and mounting</x:v>
      </x:c>
      <x:c r="C21" s="19" t="str">
        <x:v>8-pin flight-controller-to-ESC harness</x:v>
      </x:c>
      <x:c r="D21" s="19" t="str">
        <x:v>Wire to the verified LUX F765 and Orqa ESC pinouts</x:v>
      </x:c>
      <x:c r="E21" s="23" t="str">
        <x:v>Missing</x:v>
      </x:c>
      <x:c r="F21" s="19" t="str">
        <x:v>No 8-pin or FC-to-ESC harness entry found</x:v>
      </x:c>
      <x:c r="G21" s="19" t="str">
        <x:v>Full inventory cross-check</x:v>
      </x:c>
      <x:c r="H21" s="19" t="str">
        <x:v>Do not assume the pin order matches at both ends; continuity-check every conductor.</x:v>
      </x:c>
    </x:row>
    <x:row r="22" ht="144" hidden="0" customHeight="1">
      <x:c r="A22" s="23" t="n">
        <x:v>17</x:v>
      </x:c>
      <x:c r="B22" s="19" t="str">
        <x:v>Wiring and mounting</x:v>
      </x:c>
      <x:c r="C22" s="19" t="str">
        <x:v>M3 FC/ESC mounting hardware</x:v>
      </x:c>
      <x:c r="D22" s="19" t="str">
        <x:v>Standoffs, screws, washers, and locking nuts</x:v>
      </x:c>
      <x:c r="E22" s="23" t="str">
        <x:v>Partial</x:v>
      </x:c>
      <x:c r="F22" s="19" t="str">
        <x:v>M3 screws in several lengths are listed; standoffs, M3 washers, and M3 locking nuts are not</x:v>
      </x:c>
      <x:c r="G22" s="19" t="str">
        <x:v>Equipment Distribution!A210:D215</x:v>
      </x:c>
      <x:c r="H22" s="19" t="str">
        <x:v>Add the missing mounting pieces or verify they are included with the frame/stack.</x:v>
      </x:c>
    </x:row>
    <x:row r="23" ht="84" hidden="0" customHeight="1">
      <x:c r="A23" s="23" t="n">
        <x:v>18</x:v>
      </x:c>
      <x:c r="B23" s="19" t="str">
        <x:v>Wiring and mounting</x:v>
      </x:c>
      <x:c r="C23" s="19" t="str">
        <x:v>Spare M3 motor screws</x:v>
      </x:c>
      <x:c r="D23" s="19" t="str">
        <x:v>Length appropriate for Rekon10 arms and XING2 motors</x:v>
      </x:c>
      <x:c r="E23" s="23" t="str">
        <x:v>Present</x:v>
      </x:c>
      <x:c r="F23" s="19" t="str">
        <x:v>M3 screws in 5, 6, 8, 10, and 12mm lengths</x:v>
      </x:c>
      <x:c r="G23" s="19" t="str">
        <x:v>Equipment Distribution!A210:D215</x:v>
      </x:c>
      <x:c r="H23" s="19" t="str">
        <x:v>Confirm screw length cannot contact the motor windings.</x:v>
      </x:c>
    </x:row>
    <x:row r="24" ht="96" hidden="0" customHeight="1">
      <x:c r="A24" s="23" t="n">
        <x:v>19</x:v>
      </x:c>
      <x:c r="B24" s="19" t="str">
        <x:v>Wiring and mounting</x:v>
      </x:c>
      <x:c r="C24" s="19" t="str">
        <x:v>Heat-shrink tubing</x:v>
      </x:c>
      <x:c r="D24" s="19" t="str">
        <x:v>Assorted sizes for signal and power wiring</x:v>
      </x:c>
      <x:c r="E24" s="23" t="str">
        <x:v>Present</x:v>
      </x:c>
      <x:c r="F24" s="19" t="str">
        <x:v>Heat-shrink rolls and assorted kits</x:v>
      </x:c>
      <x:c r="G24" s="19" t="str">
        <x:v>Equipment Distribution!A142:D167; A335:D335</x:v>
      </x:c>
      <x:c r="H24" s="19" t="str">
        <x:v>Use the smallest size that fully covers each joint after shrinking.</x:v>
      </x:c>
    </x:row>
    <x:row r="25" ht="156" hidden="0" customHeight="1">
      <x:c r="A25" s="23" t="n">
        <x:v>20</x:v>
      </x:c>
      <x:c r="B25" s="19" t="str">
        <x:v>Wiring and mounting</x:v>
      </x:c>
      <x:c r="C25" s="19" t="str">
        <x:v>Kapton tape or fishpaper</x:v>
      </x:c>
      <x:c r="D25" s="19" t="str">
        <x:v>Electrical insulation around boards and high-current connections</x:v>
      </x:c>
      <x:c r="E25" s="23" t="str">
        <x:v>Missing</x:v>
      </x:c>
      <x:c r="F25" s="19" t="str">
        <x:v>No Kapton tape or fishpaper entry found</x:v>
      </x:c>
      <x:c r="G25" s="19" t="str">
        <x:v>Full inventory cross-check</x:v>
      </x:c>
      <x:c r="H25" s="19" t="str">
        <x:v>Keep conductive carbon-fiber surfaces isolated from exposed pads and power connections.</x:v>
      </x:c>
    </x:row>
    <x:row r="26" ht="120" hidden="0" customHeight="1">
      <x:c r="A26" s="23" t="n">
        <x:v>21</x:v>
      </x:c>
      <x:c r="B26" s="19" t="str">
        <x:v>Wiring and mounting</x:v>
      </x:c>
      <x:c r="C26" s="19" t="str">
        <x:v>Zip ties and adhesive cable anchors</x:v>
      </x:c>
      <x:c r="D26" s="19" t="str">
        <x:v>For strain relief and cable routing</x:v>
      </x:c>
      <x:c r="E26" s="23" t="str">
        <x:v>Partial</x:v>
      </x:c>
      <x:c r="F26" s="19" t="str">
        <x:v>Several zip-tie entries are listed; adhesive cable anchors/tie mounts are not</x:v>
      </x:c>
      <x:c r="G26" s="19" t="str">
        <x:v>Equipment Distribution!A147:D147; A226:D226</x:v>
      </x:c>
      <x:c r="H26" s="19" t="str">
        <x:v>Use anchors only where they cannot loosen into a propeller path.</x:v>
      </x:c>
    </x:row>
    <x:row r="27" ht="144" hidden="0" customHeight="1">
      <x:c r="A27" s="23" t="n">
        <x:v>22</x:v>
      </x:c>
      <x:c r="B27" s="19" t="str">
        <x:v>Wiring and mounting</x:v>
      </x:c>
      <x:c r="C27" s="19" t="str">
        <x:v>Foam or 3M VHB mounting tape</x:v>
      </x:c>
      <x:c r="D27" s="19" t="str">
        <x:v>Electronics-grade vibration-resistant mounting tape</x:v>
      </x:c>
      <x:c r="E27" s="23" t="str">
        <x:v>Missing</x:v>
      </x:c>
      <x:c r="F27" s="19" t="str">
        <x:v>Generic Alien double-sided tape is listed, but no foam/VHB electronics mounting tape is specified</x:v>
      </x:c>
      <x:c r="G27" s="19" t="str">
        <x:v>Equipment Distribution!A144:D145; A218:D219</x:v>
      </x:c>
      <x:c r="H27" s="19" t="str">
        <x:v>The generic tape entry was not treated as a confirmed equivalent.</x:v>
      </x:c>
    </x:row>
    <x:row r="28" ht="120" hidden="0" customHeight="1">
      <x:c r="A28" s="23" t="n">
        <x:v>23</x:v>
      </x:c>
      <x:c r="B28" s="19" t="str">
        <x:v>Wiring and mounting</x:v>
      </x:c>
      <x:c r="C28" s="19" t="str">
        <x:v>Braided cable sleeve or spiral wrap</x:v>
      </x:c>
      <x:c r="D28" s="19" t="str">
        <x:v>Protect and organize exposed wiring</x:v>
      </x:c>
      <x:c r="E28" s="23" t="str">
        <x:v>Missing</x:v>
      </x:c>
      <x:c r="F28" s="19" t="str">
        <x:v>No braided sleeving, spiral wrap, or wire-loom entry found</x:v>
      </x:c>
      <x:c r="G28" s="19" t="str">
        <x:v>Full inventory cross-check</x:v>
      </x:c>
      <x:c r="H28" s="19" t="str">
        <x:v>Size it for the motor leads and any external wire bundles that need abrasion protection.</x:v>
      </x:c>
    </x:row>
    <x:row r="29" ht="120" hidden="0" customHeight="1">
      <x:c r="A29" s="23" t="n">
        <x:v>24</x:v>
      </x:c>
      <x:c r="B29" s="19" t="str">
        <x:v>Wiring and mounting</x:v>
      </x:c>
      <x:c r="C29" s="19" t="str">
        <x:v>Blue removable threadlocker</x:v>
      </x:c>
      <x:c r="D29" s="19" t="str">
        <x:v>Medium-strength removable formulation</x:v>
      </x:c>
      <x:c r="E29" s="23" t="str">
        <x:v>Verify</x:v>
      </x:c>
      <x:c r="F29" s="19" t="str">
        <x:v>Inventory lists only “Loc-tite,” without color or strength</x:v>
      </x:c>
      <x:c r="G29" s="19" t="str">
        <x:v>Equipment Distribution!A227:D227</x:v>
      </x:c>
      <x:c r="H29" s="19" t="str">
        <x:v>Confirm it is removable blue threadlocker before using it on metal-to-metal fasteners.</x:v>
      </x:c>
    </x:row>
    <x:row r="30" ht="156" hidden="0" customHeight="1">
      <x:c r="A30" s="23" t="n">
        <x:v>25</x:v>
      </x:c>
      <x:c r="B30" s="19" t="str">
        <x:v>Wiring and mounting</x:v>
      </x:c>
      <x:c r="C30" s="19" t="str">
        <x:v>Equipment mounts</x:v>
      </x:c>
      <x:c r="D30" s="19" t="str">
        <x:v>GPS, ELRS antennas, Raspberry Pi, and Pi camera</x:v>
      </x:c>
      <x:c r="E30" s="23" t="str">
        <x:v>Partial</x:v>
      </x:c>
      <x:c r="F30" s="19" t="str">
        <x:v>ELRS antenna and standard camera mounts are listed; dedicated GPS, Pi, and Pi-camera mounts are not</x:v>
      </x:c>
      <x:c r="G30" s="19" t="str">
        <x:v>Equipment Distribution!A57:D59; A418:D418</x:v>
      </x:c>
      <x:c r="H30" s="19" t="str">
        <x:v>The spreadsheet also lists 3D printers and filament, so the missing mounts may be fabricated.</x:v>
      </x:c>
    </x:row>
    <x:row r="31" ht="120" hidden="0" customHeight="1">
      <x:c r="A31" s="23" t="n">
        <x:v>26</x:v>
      </x:c>
      <x:c r="B31" s="19" t="str">
        <x:v>Strongly recommended</x:v>
      </x:c>
      <x:c r="C31" s="19" t="str">
        <x:v>Self-powered lost-model buzzer</x:v>
      </x:c>
      <x:c r="D31" s="19" t="str">
        <x:v>Independent battery so it can sound after main-pack separation</x:v>
      </x:c>
      <x:c r="E31" s="23" t="str">
        <x:v>Missing</x:v>
      </x:c>
      <x:c r="F31" s="19" t="str">
        <x:v>Only smoke-stopper alarm buzzers are listed</x:v>
      </x:c>
      <x:c r="G31" s="19" t="str">
        <x:v>Equipment Distribution!A37:D37; A350:D350</x:v>
      </x:c>
      <x:c r="H31" s="19" t="str">
        <x:v>A smoke-stopper alarm does not provide lost-model recovery after a crash.</x:v>
      </x:c>
    </x:row>
    <x:row r="32" ht="84" hidden="0" customHeight="1">
      <x:c r="A32" s="23" t="n">
        <x:v>27</x:v>
      </x:c>
      <x:c r="B32" s="19" t="str">
        <x:v>Strongly recommended</x:v>
      </x:c>
      <x:c r="C32" s="19" t="str">
        <x:v>4S-compatible smoke stopper</x:v>
      </x:c>
      <x:c r="D32" s="19" t="str">
        <x:v>XT60-compatible short-circuit protection</x:v>
      </x:c>
      <x:c r="E32" s="23" t="str">
        <x:v>Present</x:v>
      </x:c>
      <x:c r="F32" s="19" t="str">
        <x:v>Dedicated smoke-stopper entries for 2-6S systems</x:v>
      </x:c>
      <x:c r="G32" s="19" t="str">
        <x:v>Equipment Distribution!A37:D37; A350:D350</x:v>
      </x:c>
      <x:c r="H32" s="19" t="str">
        <x:v>Use during initial power-up with propellers removed.</x:v>
      </x:c>
    </x:row>
    <x:row r="33" ht="108" hidden="0" customHeight="1">
      <x:c r="A33" s="23" t="n">
        <x:v>28</x:v>
      </x:c>
      <x:c r="B33" s="19" t="str">
        <x:v>Strongly recommended</x:v>
      </x:c>
      <x:c r="C33" s="19" t="str">
        <x:v>Multimeter</x:v>
      </x:c>
      <x:c r="D33" s="19" t="str">
        <x:v>Continuity, voltage, polarity, and resistance checks</x:v>
      </x:c>
      <x:c r="E33" s="23" t="str">
        <x:v>Present</x:v>
      </x:c>
      <x:c r="F33" s="19" t="str">
        <x:v>Fluke 15B+ Digital Multimeter</x:v>
      </x:c>
      <x:c r="G33" s="19" t="str">
        <x:v>Equipment Distribution!A165:D165</x:v>
      </x:c>
      <x:c r="H33" s="19" t="str">
        <x:v>Check XT60 polarity and continuity before connecting the flight battery.</x:v>
      </x:c>
    </x:row>
    <x:row r="34" ht="168" hidden="0" customHeight="1">
      <x:c r="A34" s="23" t="n">
        <x:v>29</x:v>
      </x:c>
      <x:c r="B34" s="19" t="str">
        <x:v>Strongly recommended</x:v>
      </x:c>
      <x:c r="C34" s="19" t="str">
        <x:v>LiPo charging/storage bag or fire-resistant container</x:v>
      </x:c>
      <x:c r="D34" s="19" t="str">
        <x:v>Large enough for the 4S battery</x:v>
      </x:c>
      <x:c r="E34" s="23" t="str">
        <x:v>Present</x:v>
      </x:c>
      <x:c r="F34" s="19" t="str">
        <x:v>Zeee fireproof/explosionproof battery storage guard pouch</x:v>
      </x:c>
      <x:c r="G34" s="19" t="str">
        <x:v>Equipment Distribution!A339:D339</x:v>
      </x:c>
      <x:c r="H34" s="19" t="str">
        <x:v>Charge on a nonflammable surface and follow the charger and battery manufacturers' instructions.</x:v>
      </x:c>
    </x:row>
    <x:row r="35" ht="96" hidden="0" customHeight="1">
      <x:c r="A35" s="23" t="n">
        <x:v>30</x:v>
      </x:c>
      <x:c r="B35" s="19" t="str">
        <x:v>Strongly recommended</x:v>
      </x:c>
      <x:c r="C35" s="19" t="str">
        <x:v>Cell-voltage checker</x:v>
      </x:c>
      <x:c r="D35" s="19" t="str">
        <x:v>Supports 4S LiPo</x:v>
      </x:c>
      <x:c r="E35" s="23" t="str">
        <x:v>Present</x:v>
      </x:c>
      <x:c r="F35" s="19" t="str">
        <x:v>Hitec and ISDT battery checkers/balancers</x:v>
      </x:c>
      <x:c r="G35" s="19" t="str">
        <x:v>Equipment Distribution!A308:D311</x:v>
      </x:c>
      <x:c r="H35" s="19" t="str">
        <x:v>Verify all four cell voltages before charging and before flight.</x:v>
      </x:c>
    </x:row>
    <x:row r="36" ht="120" hidden="0" customHeight="1">
      <x:c r="A36" s="23" t="n">
        <x:v>31</x:v>
      </x:c>
      <x:c r="B36" s="19" t="str">
        <x:v>Strongly recommended</x:v>
      </x:c>
      <x:c r="C36" s="19" t="str">
        <x:v>Small Raspberry Pi heatsink</x:v>
      </x:c>
      <x:c r="D36" s="19" t="str">
        <x:v>Sized for Raspberry Pi Zero 2 W</x:v>
      </x:c>
      <x:c r="E36" s="23" t="str">
        <x:v>Present</x:v>
      </x:c>
      <x:c r="F36" s="19" t="str">
        <x:v>Heat Sink Kits</x:v>
      </x:c>
      <x:c r="G36" s="19" t="str">
        <x:v>Equipment Distribution!A476:D476</x:v>
      </x:c>
      <x:c r="H36" s="19" t="str">
        <x:v>Confirm the selected heatsink clears the camera cable and nearby components.</x:v>
      </x:c>
    </x:row>
    <x:row r="37" ht="120" hidden="0" customHeight="1">
      <x:c r="A37" s="23" t="n">
        <x:v>32</x:v>
      </x:c>
      <x:c r="B37" s="19" t="str">
        <x:v>Strongly recommended</x:v>
      </x:c>
      <x:c r="C37" s="19" t="str">
        <x:v>Propeller balancer</x:v>
      </x:c>
      <x:c r="D37" s="19" t="str">
        <x:v>Suitable for 10-inch three-blade propellers</x:v>
      </x:c>
      <x:c r="E37" s="23" t="str">
        <x:v>Missing</x:v>
      </x:c>
      <x:c r="F37" s="19" t="str">
        <x:v>No propeller-balancer entry found</x:v>
      </x:c>
      <x:c r="G37" s="19" t="str">
        <x:v>Full inventory cross-check</x:v>
      </x:c>
      <x:c r="H37" s="19" t="str">
        <x:v>Use a balancer that supports the propeller hub diameter and weight.</x:v>
      </x:c>
    </x:row>
    <x:row r="38" ht="156" hidden="0" customHeight="1">
      <x:c r="A38" s="23" t="n">
        <x:v>33</x:v>
      </x:c>
      <x:c r="B38" s="19" t="str">
        <x:v>Strongly recommended</x:v>
      </x:c>
      <x:c r="C38" s="19" t="str">
        <x:v>USB-C data cable for LUX F765</x:v>
      </x:c>
      <x:c r="D38" s="19" t="str">
        <x:v>Data-capable, not charge-only</x:v>
      </x:c>
      <x:c r="E38" s="23" t="str">
        <x:v>Present</x:v>
      </x:c>
      <x:c r="F38" s="19" t="str">
        <x:v>USB-C data cable entries</x:v>
      </x:c>
      <x:c r="G38" s="19" t="str">
        <x:v>Equipment Distribution!A123:D123; A162:D163</x:v>
      </x:c>
      <x:c r="H38" s="19" t="str">
        <x:v>Confirm the chosen cable carries data before troubleshooting the flight-controller connection.</x:v>
      </x:c>
    </x:row>
    <x:row r="39" ht="108" hidden="0" customHeight="1">
      <x:c r="A39" s="23" t="n">
        <x:v>34</x:v>
      </x:c>
      <x:c r="B39" s="19" t="str">
        <x:v>Strongly recommended</x:v>
      </x:c>
      <x:c r="C39" s="19" t="str">
        <x:v>Micro-USB data cable for Raspberry Pi</x:v>
      </x:c>
      <x:c r="D39" s="19" t="str">
        <x:v>USB-A to Micro-B, data-capable</x:v>
      </x:c>
      <x:c r="E39" s="23" t="str">
        <x:v>Present</x:v>
      </x:c>
      <x:c r="F39" s="19" t="str">
        <x:v>Several USB-A to Micro-B data cables</x:v>
      </x:c>
      <x:c r="G39" s="19" t="str">
        <x:v>Equipment Distribution!A180:D181; A343:D343</x:v>
      </x:c>
      <x:c r="H39" s="19" t="str">
        <x:v>Use the Pi's data-capable USB port appropriate to the intended setup.</x:v>
      </x:c>
    </x:row>
    <x:row r="40" ht="156" hidden="0" customHeight="1">
      <x:c r="A40" s="30" t="n">
        <x:v>35</x:v>
      </x:c>
      <x:c r="B40" s="29" t="str">
        <x:v>Strongly recommended</x:v>
      </x:c>
      <x:c r="C40" s="29" t="str">
        <x:v>FAA-approved Remote ID module</x:v>
      </x:c>
      <x:c r="D40" s="29" t="str">
        <x:v>Only if required for the aircraft and operation</x:v>
      </x:c>
      <x:c r="E40" s="30" t="str">
        <x:v>Conditional</x:v>
      </x:c>
      <x:c r="F40" s="29" t="str">
        <x:v>No Remote ID module entry found</x:v>
      </x:c>
      <x:c r="G40" s="29" t="str">
        <x:v>Full inventory cross-check</x:v>
      </x:c>
      <x:c r="H40" s="29" t="str">
        <x:v>Determine whether the build and intended operation require Remote ID before purchase or installation.</x:v>
      </x:c>
    </x:row>
  </x:sheetData>
  <x:conditionalFormatting sqref="E6:E40">
    <x:cfRule type="containsText" dxfId="5" priority="1" operator="containsText" text="Present"/>
    <x:cfRule type="containsText" dxfId="6" priority="2" operator="containsText" text="Missing"/>
    <x:cfRule type="containsText" dxfId="7" priority="3" operator="containsText" text="Partial"/>
    <x:cfRule type="containsText" dxfId="8" priority="4" operator="containsText" text="Verify"/>
    <x:cfRule type="containsText" dxfId="9" priority="5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d8c5cf46de4e4cb5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28" hidden="0" customWidth="1"/>
    <x:col min="5" max="5" width="16" hidden="0" customWidth="1"/>
    <x:col min="6" max="6" width="45" hidden="0" customWidth="1"/>
    <x:col min="7" max="7" width="33" hidden="0" customWidth="1"/>
    <x:col min="8" max="8" width="48" hidden="0" customWidth="1"/>
  </x:cols>
  <x:sheetData>
    <x:row r="1" ht="22" customHeight="1">
      <x:c r="A1" s="3" t="str">
        <x:v>Items represented in the spreadsheet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Reasonable matches found anywhere in the source workbook, regardless of list type.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28" t="str">
        <x:v>ID</x:v>
      </x:c>
      <x:c r="B5" s="28" t="str">
        <x:v>Original category</x:v>
      </x:c>
      <x:c r="C5" s="28" t="str">
        <x:v>Component or material</x:v>
      </x:c>
      <x:c r="D5" s="28" t="str">
        <x:v>Quantity / specification</x:v>
      </x:c>
      <x:c r="E5" s="28" t="str">
        <x:v>Cross-check status</x:v>
      </x:c>
      <x:c r="F5" s="28" t="str">
        <x:v>Spreadsheet match</x:v>
      </x:c>
      <x:c r="G5" s="28" t="str">
        <x:v>Source reference</x:v>
      </x:c>
      <x:c r="H5" s="28" t="str">
        <x:v>Annotation</x:v>
      </x:c>
    </x:row>
    <x:row r="6" ht="96" hidden="0" customHeight="1">
      <x:c r="A6" s="23" t="n">
        <x:v>1</x:v>
      </x:c>
      <x:c r="B6" s="19" t="str">
        <x:v>Required additions</x:v>
      </x:c>
      <x:c r="C6" s="19" t="str">
        <x:v>Three additional iFlight XING2 3110 900KV motors</x:v>
      </x:c>
      <x:c r="D6" s="19" t="str">
        <x:v>3 additional motors</x:v>
      </x:c>
      <x:c r="E6" s="23" t="str">
        <x:v>Present</x:v>
      </x:c>
      <x:c r="F6" s="19" t="str">
        <x:v>iFlight XING2 3110 Cinelifter Motor - 900KV; quantity 120</x:v>
      </x:c>
      <x:c r="G6" s="19" t="str">
        <x:v>Equipment Distribution!A393:D393</x:v>
      </x:c>
      <x:c r="H6" s="19" t="str">
        <x:v>Spreadsheet quantity is more than sufficient for a four-motor build.</x:v>
      </x:c>
    </x:row>
    <x:row r="7" ht="132" hidden="0" customHeight="1">
      <x:c r="A7" s="23" t="n">
        <x:v>2</x:v>
      </x:c>
      <x:c r="B7" s="19" t="str">
        <x:v>Required additions</x:v>
      </x:c>
      <x:c r="C7" s="19" t="str">
        <x:v>Additional Gemfan 1050 propeller package</x:v>
      </x:c>
      <x:c r="D7" s="19" t="str">
        <x:v>Enough for 2 CW and 2 CCW props</x:v>
      </x:c>
      <x:c r="E7" s="23" t="str">
        <x:v>Present</x:v>
      </x:c>
      <x:c r="F7" s="19" t="str">
        <x:v>Gemfan Cinelifter 1050 reinforced glass-fiber nylon props; quantity 54</x:v>
      </x:c>
      <x:c r="G7" s="19" t="str">
        <x:v>Equipment Distribution!A402:D402</x:v>
      </x:c>
      <x:c r="H7" s="19" t="str">
        <x:v>Confirm each package contains the required CW/CCW pair arrangement before assembly.</x:v>
      </x:c>
    </x:row>
    <x:row r="8" ht="120" hidden="0" customHeight="1">
      <x:c r="A8" s="23" t="n">
        <x:v>3</x:v>
      </x:c>
      <x:c r="B8" s="19" t="str">
        <x:v>Required additions</x:v>
      </x:c>
      <x:c r="C8" s="19" t="str">
        <x:v>Analog FPV camera</x:v>
      </x:c>
      <x:c r="D8" s="19" t="str">
        <x:v>19-20 mm, CVBS, compatible with Rush analog VTX</x:v>
      </x:c>
      <x:c r="E8" s="23" t="str">
        <x:v>Present</x:v>
      </x:c>
      <x:c r="F8" s="19" t="str">
        <x:v>Fat Shark Aura Analog FPV Camera and FPV Analog Cameras inventory</x:v>
      </x:c>
      <x:c r="G8" s="19" t="str">
        <x:v>Equipment Distribution!A422:D422; A431:D431</x:v>
      </x:c>
      <x:c r="H8" s="19" t="str">
        <x:v>Select a camera with CVBS output and a frame-compatible mounting width.</x:v>
      </x:c>
    </x:row>
    <x:row r="9" ht="132" hidden="0" customHeight="1">
      <x:c r="A9" s="23" t="n">
        <x:v>4</x:v>
      </x:c>
      <x:c r="B9" s="19" t="str">
        <x:v>Required additions</x:v>
      </x:c>
      <x:c r="C9" s="19" t="str">
        <x:v>Separate microSD card for LUX F765</x:v>
      </x:c>
      <x:c r="D9" s="19" t="str">
        <x:v>Preferably 8-32 GB, FAT32</x:v>
      </x:c>
      <x:c r="E9" s="23" t="str">
        <x:v>Present</x:v>
      </x:c>
      <x:c r="F9" s="19" t="str">
        <x:v>SanDisk 32GB Ultra microSDHC cards</x:v>
      </x:c>
      <x:c r="G9" s="19" t="str">
        <x:v>Equipment Distribution!A377:D377</x:v>
      </x:c>
      <x:c r="H9" s="19" t="str">
        <x:v>Use a dedicated card for the flight controller; keep the 64GB card for the Raspberry Pi.</x:v>
      </x:c>
    </x:row>
    <x:row r="10" ht="60" hidden="0" customHeight="1">
      <x:c r="A10" s="23" t="n">
        <x:v>5</x:v>
      </x:c>
      <x:c r="B10" s="19" t="str">
        <x:v>Required additions</x:v>
      </x:c>
      <x:c r="C10" s="19" t="str">
        <x:v>Regulated 5V BEC for Raspberry Pi</x:v>
      </x:c>
      <x:c r="D10" s="19" t="str">
        <x:v>4S input; at least 3A output</x:v>
      </x:c>
      <x:c r="E10" s="23" t="str">
        <x:v>Present</x:v>
      </x:c>
      <x:c r="F10" s="19" t="str">
        <x:v>DROK 9-36V to 5V, 3.5-6A buck converter</x:v>
      </x:c>
      <x:c r="G10" s="19" t="str">
        <x:v>Equipment Distribution!A367:D367</x:v>
      </x:c>
      <x:c r="H10" s="19" t="str">
        <x:v>A 4S pack is within the listed input range.</x:v>
      </x:c>
    </x:row>
    <x:row r="11" ht="120" hidden="0" customHeight="1">
      <x:c r="A11" s="23" t="n">
        <x:v>6</x:v>
      </x:c>
      <x:c r="B11" s="19" t="str">
        <x:v>Required additions</x:v>
      </x:c>
      <x:c r="C11" s="19" t="str">
        <x:v>Raspberry Pi camera ribbon cable</x:v>
      </x:c>
      <x:c r="D11" s="19" t="str">
        <x:v>15-pin to 22-pin Standard-to-Mini CSI cable</x:v>
      </x:c>
      <x:c r="E11" s="23" t="str">
        <x:v>Present</x:v>
      </x:c>
      <x:c r="F11" s="19" t="str">
        <x:v>Arducam kit includes 15-to-22-pin ribbon; separate 22-to-15-pin CSI cable also listed</x:v>
      </x:c>
      <x:c r="G11" s="19" t="str">
        <x:v>Equipment Distribution!A417:D419</x:v>
      </x:c>
      <x:c r="H11" s="19" t="str">
        <x:v>Choose the length that reaches the Pi without folding sharply or contacting propellers.</x:v>
      </x:c>
    </x:row>
    <x:row r="12" ht="108" hidden="0" customHeight="1">
      <x:c r="A12" s="23" t="n">
        <x:v>7</x:v>
      </x:c>
      <x:c r="B12" s="19" t="str">
        <x:v>Required additions</x:v>
      </x:c>
      <x:c r="C12" s="19" t="str">
        <x:v>XT60 battery pigtail for ESC</x:v>
      </x:c>
      <x:c r="D12" s="19" t="str">
        <x:v>XT60 with suitable high-current silicone wire</x:v>
      </x:c>
      <x:c r="E12" s="23" t="str">
        <x:v>Present</x:v>
      </x:c>
      <x:c r="F12" s="19" t="str">
        <x:v>XT60 male/female connectors with 14AWG silicone wire</x:v>
      </x:c>
      <x:c r="G12" s="19" t="str">
        <x:v>Equipment Distribution!A293:D293</x:v>
      </x:c>
      <x:c r="H12" s="19" t="str">
        <x:v>Use the connector polarity required by the battery and verify it before soldering.</x:v>
      </x:c>
    </x:row>
    <x:row r="13" ht="156" hidden="0" customHeight="1">
      <x:c r="A13" s="23" t="n">
        <x:v>8</x:v>
      </x:c>
      <x:c r="B13" s="19" t="str">
        <x:v>Required additions</x:v>
      </x:c>
      <x:c r="C13" s="19" t="str">
        <x:v>Low-ESR capacitor for ESC battery pads</x:v>
      </x:c>
      <x:c r="D13" s="19" t="str">
        <x:v>Approximately 1000-2200uF, 35-50V</x:v>
      </x:c>
      <x:c r="E13" s="23" t="str">
        <x:v>Present</x:v>
      </x:c>
      <x:c r="F13" s="19" t="str">
        <x:v>35YXJ1000M12.5X20 capacitor; quantity 50</x:v>
      </x:c>
      <x:c r="G13" s="19" t="str">
        <x:v>Equipment Distribution!A357:D357</x:v>
      </x:c>
      <x:c r="H13" s="19" t="str">
        <x:v>The listed part appears to be a 35V 1000uF YXJ-series capacitor; verify markings before installation.</x:v>
      </x:c>
    </x:row>
    <x:row r="14" ht="168" hidden="0" customHeight="1">
      <x:c r="A14" s="23" t="n">
        <x:v>10</x:v>
      </x:c>
      <x:c r="B14" s="19" t="str">
        <x:v>Required additions</x:v>
      </x:c>
      <x:c r="C14" s="19" t="str">
        <x:v>Strong battery straps</x:v>
      </x:c>
      <x:c r="D14" s="19" t="str">
        <x:v>At least 2 suitable straps</x:v>
      </x:c>
      <x:c r="E14" s="23" t="str">
        <x:v>Present</x:v>
      </x:c>
      <x:c r="F14" s="19" t="str">
        <x:v>16mm x 400mm rubberized straps and 15mm x 250mm UAV battery straps</x:v>
      </x:c>
      <x:c r="G14" s="19" t="str">
        <x:v>Equipment Distribution!A292:D304; A414:D414</x:v>
      </x:c>
      <x:c r="H14" s="19" t="str">
        <x:v>Use straps long enough to pass through the Rekon10 frame and fully overlap around the 4S pack.</x:v>
      </x:c>
    </x:row>
    <x:row r="15" ht="120" hidden="0" customHeight="1">
      <x:c r="A15" s="23" t="n">
        <x:v>11</x:v>
      </x:c>
      <x:c r="B15" s="19" t="str">
        <x:v>Required additions</x:v>
      </x:c>
      <x:c r="C15" s="19" t="str">
        <x:v>4S LiPo balance charger and XT60 connection</x:v>
      </x:c>
      <x:c r="D15" s="19" t="str">
        <x:v>Charger supporting 4S LiPo plus balance and main leads</x:v>
      </x:c>
      <x:c r="E15" s="23" t="str">
        <x:v>Present</x:v>
      </x:c>
      <x:c r="F15" s="19" t="str">
        <x:v>Hota D6 Pro, iCharger 465 Duo, 4S balance lead, and XT60 connector entries</x:v>
      </x:c>
      <x:c r="G15" s="19" t="str">
        <x:v>Equipment Distribution!A285:D285; A293:D293; A345:D346</x:v>
      </x:c>
      <x:c r="H15" s="19" t="str">
        <x:v>Verify the charger's output connection and balance-board wiring before charging.</x:v>
      </x:c>
    </x:row>
    <x:row r="16" ht="120" hidden="0" customHeight="1">
      <x:c r="A16" s="23" t="n">
        <x:v>12</x:v>
      </x:c>
      <x:c r="B16" s="19" t="str">
        <x:v>Required additions</x:v>
      </x:c>
      <x:c r="C16" s="19" t="str">
        <x:v>2.4GHz ExpressLRS transmitter or ELRS radio</x:v>
      </x:c>
      <x:c r="D16" s="19" t="str">
        <x:v>Compatible with Matek ELRS-R24-D receiver</x:v>
      </x:c>
      <x:c r="E16" s="23" t="str">
        <x:v>Present</x:v>
      </x:c>
      <x:c r="F16" s="19" t="str">
        <x:v>RadioMaster radios and Nomad transmitter module</x:v>
      </x:c>
      <x:c r="G16" s="19" t="str">
        <x:v>Equipment Distribution!A279:D280; A490:D490</x:v>
      </x:c>
      <x:c r="H16" s="19" t="str">
        <x:v>Confirm the selected radio/module is configured for 2.4GHz ExpressLRS.</x:v>
      </x:c>
    </x:row>
    <x:row r="17" ht="108" hidden="0" customHeight="1">
      <x:c r="A17" s="23" t="n">
        <x:v>13</x:v>
      </x:c>
      <x:c r="B17" s="19" t="str">
        <x:v>Required additions</x:v>
      </x:c>
      <x:c r="C17" s="19" t="str">
        <x:v>5.8GHz analog FPV goggles or receiver/monitor</x:v>
      </x:c>
      <x:c r="D17" s="19" t="str">
        <x:v>Analog 5.8GHz video reception</x:v>
      </x:c>
      <x:c r="E17" s="23" t="str">
        <x:v>Present</x:v>
      </x:c>
      <x:c r="F17" s="19" t="str">
        <x:v>Orca goggles and Analog Fat Shark receiver module</x:v>
      </x:c>
      <x:c r="G17" s="19" t="str">
        <x:v>Equipment Distribution!A239:D239; A253:D253</x:v>
      </x:c>
      <x:c r="H17" s="19" t="str">
        <x:v>Confirm the receiver module is installed and compatible with the goggles.</x:v>
      </x:c>
    </x:row>
    <x:row r="18" ht="144" hidden="0" customHeight="1">
      <x:c r="A18" s="23" t="n">
        <x:v>14</x:v>
      </x:c>
      <x:c r="B18" s="19" t="str">
        <x:v>Required additions</x:v>
      </x:c>
      <x:c r="C18" s="19" t="str">
        <x:v>Matching goggle antenna</x:v>
      </x:c>
      <x:c r="D18" s="19" t="str">
        <x:v>5.8GHz antenna with correct connector and polarization</x:v>
      </x:c>
      <x:c r="E18" s="23" t="str">
        <x:v>Present</x:v>
      </x:c>
      <x:c r="F18" s="19" t="str">
        <x:v>Several 5.8GHz RHCP/LHCP SMA antennas and a goggle antenna set</x:v>
      </x:c>
      <x:c r="G18" s="19" t="str">
        <x:v>Equipment Distribution!A66:D80</x:v>
      </x:c>
      <x:c r="H18" s="19" t="str">
        <x:v>Match RHCP/LHCP polarization and SMA/RP-SMA connector type to the selected VTX and goggles.</x:v>
      </x:c>
    </x:row>
    <x:row r="19" ht="168" hidden="0" customHeight="1">
      <x:c r="A19" s="23" t="n">
        <x:v>15</x:v>
      </x:c>
      <x:c r="B19" s="19" t="str">
        <x:v>Wiring and mounting</x:v>
      </x:c>
      <x:c r="C19" s="19" t="str">
        <x:v>JST-SH 1.0mm connector/pigtail assortment</x:v>
      </x:c>
      <x:c r="D19" s="19" t="str">
        <x:v>For LUX F765 flight-controller ports</x:v>
      </x:c>
      <x:c r="E19" s="23" t="str">
        <x:v>Present</x:v>
      </x:c>
      <x:c r="F19" s="19" t="str">
        <x:v>JST Connector Kit 1.0mm Pitch</x:v>
      </x:c>
      <x:c r="G19" s="19" t="str">
        <x:v>Equipment Distribution!A370:D370</x:v>
      </x:c>
      <x:c r="H19" s="19" t="str">
        <x:v>Verify that the kit is JST-SH rather than another 1.0mm series and that housings, crimps, or pigtails are included.</x:v>
      </x:c>
    </x:row>
    <x:row r="20" ht="84" hidden="0" customHeight="1">
      <x:c r="A20" s="23" t="n">
        <x:v>18</x:v>
      </x:c>
      <x:c r="B20" s="19" t="str">
        <x:v>Wiring and mounting</x:v>
      </x:c>
      <x:c r="C20" s="19" t="str">
        <x:v>Spare M3 motor screws</x:v>
      </x:c>
      <x:c r="D20" s="19" t="str">
        <x:v>Length appropriate for Rekon10 arms and XING2 motors</x:v>
      </x:c>
      <x:c r="E20" s="23" t="str">
        <x:v>Present</x:v>
      </x:c>
      <x:c r="F20" s="19" t="str">
        <x:v>M3 screws in 5, 6, 8, 10, and 12mm lengths</x:v>
      </x:c>
      <x:c r="G20" s="19" t="str">
        <x:v>Equipment Distribution!A210:D215</x:v>
      </x:c>
      <x:c r="H20" s="19" t="str">
        <x:v>Confirm screw length cannot contact the motor windings.</x:v>
      </x:c>
    </x:row>
    <x:row r="21" ht="96" hidden="0" customHeight="1">
      <x:c r="A21" s="23" t="n">
        <x:v>19</x:v>
      </x:c>
      <x:c r="B21" s="19" t="str">
        <x:v>Wiring and mounting</x:v>
      </x:c>
      <x:c r="C21" s="19" t="str">
        <x:v>Heat-shrink tubing</x:v>
      </x:c>
      <x:c r="D21" s="19" t="str">
        <x:v>Assorted sizes for signal and power wiring</x:v>
      </x:c>
      <x:c r="E21" s="23" t="str">
        <x:v>Present</x:v>
      </x:c>
      <x:c r="F21" s="19" t="str">
        <x:v>Heat-shrink rolls and assorted kits</x:v>
      </x:c>
      <x:c r="G21" s="19" t="str">
        <x:v>Equipment Distribution!A142:D167; A335:D335</x:v>
      </x:c>
      <x:c r="H21" s="19" t="str">
        <x:v>Use the smallest size that fully covers each joint after shrinking.</x:v>
      </x:c>
    </x:row>
    <x:row r="22" ht="84" hidden="0" customHeight="1">
      <x:c r="A22" s="23" t="n">
        <x:v>27</x:v>
      </x:c>
      <x:c r="B22" s="19" t="str">
        <x:v>Strongly recommended</x:v>
      </x:c>
      <x:c r="C22" s="19" t="str">
        <x:v>4S-compatible smoke stopper</x:v>
      </x:c>
      <x:c r="D22" s="19" t="str">
        <x:v>XT60-compatible short-circuit protection</x:v>
      </x:c>
      <x:c r="E22" s="23" t="str">
        <x:v>Present</x:v>
      </x:c>
      <x:c r="F22" s="19" t="str">
        <x:v>Dedicated smoke-stopper entries for 2-6S systems</x:v>
      </x:c>
      <x:c r="G22" s="19" t="str">
        <x:v>Equipment Distribution!A37:D37; A350:D350</x:v>
      </x:c>
      <x:c r="H22" s="19" t="str">
        <x:v>Use during initial power-up with propellers removed.</x:v>
      </x:c>
    </x:row>
    <x:row r="23" ht="108" hidden="0" customHeight="1">
      <x:c r="A23" s="23" t="n">
        <x:v>28</x:v>
      </x:c>
      <x:c r="B23" s="19" t="str">
        <x:v>Strongly recommended</x:v>
      </x:c>
      <x:c r="C23" s="19" t="str">
        <x:v>Multimeter</x:v>
      </x:c>
      <x:c r="D23" s="19" t="str">
        <x:v>Continuity, voltage, polarity, and resistance checks</x:v>
      </x:c>
      <x:c r="E23" s="23" t="str">
        <x:v>Present</x:v>
      </x:c>
      <x:c r="F23" s="19" t="str">
        <x:v>Fluke 15B+ Digital Multimeter</x:v>
      </x:c>
      <x:c r="G23" s="19" t="str">
        <x:v>Equipment Distribution!A165:D165</x:v>
      </x:c>
      <x:c r="H23" s="19" t="str">
        <x:v>Check XT60 polarity and continuity before connecting the flight battery.</x:v>
      </x:c>
    </x:row>
    <x:row r="24" ht="168" hidden="0" customHeight="1">
      <x:c r="A24" s="23" t="n">
        <x:v>29</x:v>
      </x:c>
      <x:c r="B24" s="19" t="str">
        <x:v>Strongly recommended</x:v>
      </x:c>
      <x:c r="C24" s="19" t="str">
        <x:v>LiPo charging/storage bag or fire-resistant container</x:v>
      </x:c>
      <x:c r="D24" s="19" t="str">
        <x:v>Large enough for the 4S battery</x:v>
      </x:c>
      <x:c r="E24" s="23" t="str">
        <x:v>Present</x:v>
      </x:c>
      <x:c r="F24" s="19" t="str">
        <x:v>Zeee fireproof/explosionproof battery storage guard pouch</x:v>
      </x:c>
      <x:c r="G24" s="19" t="str">
        <x:v>Equipment Distribution!A339:D339</x:v>
      </x:c>
      <x:c r="H24" s="19" t="str">
        <x:v>Charge on a nonflammable surface and follow the charger and battery manufacturers' instructions.</x:v>
      </x:c>
    </x:row>
    <x:row r="25" ht="96" hidden="0" customHeight="1">
      <x:c r="A25" s="23" t="n">
        <x:v>30</x:v>
      </x:c>
      <x:c r="B25" s="19" t="str">
        <x:v>Strongly recommended</x:v>
      </x:c>
      <x:c r="C25" s="19" t="str">
        <x:v>Cell-voltage checker</x:v>
      </x:c>
      <x:c r="D25" s="19" t="str">
        <x:v>Supports 4S LiPo</x:v>
      </x:c>
      <x:c r="E25" s="23" t="str">
        <x:v>Present</x:v>
      </x:c>
      <x:c r="F25" s="19" t="str">
        <x:v>Hitec and ISDT battery checkers/balancers</x:v>
      </x:c>
      <x:c r="G25" s="19" t="str">
        <x:v>Equipment Distribution!A308:D311</x:v>
      </x:c>
      <x:c r="H25" s="19" t="str">
        <x:v>Verify all four cell voltages before charging and before flight.</x:v>
      </x:c>
    </x:row>
    <x:row r="26" ht="120" hidden="0" customHeight="1">
      <x:c r="A26" s="23" t="n">
        <x:v>31</x:v>
      </x:c>
      <x:c r="B26" s="19" t="str">
        <x:v>Strongly recommended</x:v>
      </x:c>
      <x:c r="C26" s="19" t="str">
        <x:v>Small Raspberry Pi heatsink</x:v>
      </x:c>
      <x:c r="D26" s="19" t="str">
        <x:v>Sized for Raspberry Pi Zero 2 W</x:v>
      </x:c>
      <x:c r="E26" s="23" t="str">
        <x:v>Present</x:v>
      </x:c>
      <x:c r="F26" s="19" t="str">
        <x:v>Heat Sink Kits</x:v>
      </x:c>
      <x:c r="G26" s="19" t="str">
        <x:v>Equipment Distribution!A476:D476</x:v>
      </x:c>
      <x:c r="H26" s="19" t="str">
        <x:v>Confirm the selected heatsink clears the camera cable and nearby components.</x:v>
      </x:c>
    </x:row>
    <x:row r="27" ht="156" hidden="0" customHeight="1">
      <x:c r="A27" s="23" t="n">
        <x:v>33</x:v>
      </x:c>
      <x:c r="B27" s="19" t="str">
        <x:v>Strongly recommended</x:v>
      </x:c>
      <x:c r="C27" s="19" t="str">
        <x:v>USB-C data cable for LUX F765</x:v>
      </x:c>
      <x:c r="D27" s="19" t="str">
        <x:v>Data-capable, not charge-only</x:v>
      </x:c>
      <x:c r="E27" s="23" t="str">
        <x:v>Present</x:v>
      </x:c>
      <x:c r="F27" s="19" t="str">
        <x:v>USB-C data cable entries</x:v>
      </x:c>
      <x:c r="G27" s="19" t="str">
        <x:v>Equipment Distribution!A123:D123; A162:D163</x:v>
      </x:c>
      <x:c r="H27" s="19" t="str">
        <x:v>Confirm the chosen cable carries data before troubleshooting the flight-controller connection.</x:v>
      </x:c>
    </x:row>
    <x:row r="28" ht="108" hidden="0" customHeight="1">
      <x:c r="A28" s="30" t="n">
        <x:v>34</x:v>
      </x:c>
      <x:c r="B28" s="29" t="str">
        <x:v>Strongly recommended</x:v>
      </x:c>
      <x:c r="C28" s="29" t="str">
        <x:v>Micro-USB data cable for Raspberry Pi</x:v>
      </x:c>
      <x:c r="D28" s="29" t="str">
        <x:v>USB-A to Micro-B, data-capable</x:v>
      </x:c>
      <x:c r="E28" s="30" t="str">
        <x:v>Present</x:v>
      </x:c>
      <x:c r="F28" s="29" t="str">
        <x:v>Several USB-A to Micro-B data cables</x:v>
      </x:c>
      <x:c r="G28" s="29" t="str">
        <x:v>Equipment Distribution!A180:D181; A343:D343</x:v>
      </x:c>
      <x:c r="H28" s="29" t="str">
        <x:v>Use the Pi's data-capable USB port appropriate to the intended setup.</x:v>
      </x:c>
    </x:row>
  </x:sheetData>
  <x:conditionalFormatting sqref="E6:E28">
    <x:cfRule type="containsText" dxfId="10" priority="1" operator="containsText" text="Present"/>
    <x:cfRule type="containsText" dxfId="11" priority="2" operator="containsText" text="Missing"/>
    <x:cfRule type="containsText" dxfId="12" priority="3" operator="containsText" text="Partial"/>
    <x:cfRule type="containsText" dxfId="13" priority="4" operator="containsText" text="Verify"/>
    <x:cfRule type="containsText" dxfId="14" priority="5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ba64ca12f3c24e33"/>
  </x:tableParts>
</x:worksheet>
</file>

<file path=xl/worksheets/sheet4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28" hidden="0" customWidth="1"/>
    <x:col min="5" max="5" width="16" hidden="0" customWidth="1"/>
    <x:col min="6" max="6" width="45" hidden="0" customWidth="1"/>
    <x:col min="7" max="7" width="33" hidden="0" customWidth="1"/>
    <x:col min="8" max="8" width="48" hidden="0" customWidth="1"/>
  </x:cols>
  <x:sheetData>
    <x:row r="1" ht="22" customHeight="1">
      <x:c r="A1" s="3" t="str">
        <x:v>Items not represented in the spreadsheet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No suitable entry found during the full inventory cross-check.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28" t="str">
        <x:v>ID</x:v>
      </x:c>
      <x:c r="B5" s="28" t="str">
        <x:v>Original category</x:v>
      </x:c>
      <x:c r="C5" s="28" t="str">
        <x:v>Component or material</x:v>
      </x:c>
      <x:c r="D5" s="28" t="str">
        <x:v>Quantity / specification</x:v>
      </x:c>
      <x:c r="E5" s="28" t="str">
        <x:v>Cross-check status</x:v>
      </x:c>
      <x:c r="F5" s="28" t="str">
        <x:v>Spreadsheet match</x:v>
      </x:c>
      <x:c r="G5" s="28" t="str">
        <x:v>Source reference</x:v>
      </x:c>
      <x:c r="H5" s="28" t="str">
        <x:v>Annotation</x:v>
      </x:c>
    </x:row>
    <x:row r="6" ht="108" hidden="0" customHeight="1">
      <x:c r="A6" s="23" t="n">
        <x:v>9</x:v>
      </x:c>
      <x:c r="B6" s="19" t="str">
        <x:v>Required additions</x:v>
      </x:c>
      <x:c r="C6" s="19" t="str">
        <x:v>M5 propeller locknuts</x:v>
      </x:c>
      <x:c r="D6" s="19" t="str">
        <x:v>4 locknuts/nyloc nuts</x:v>
      </x:c>
      <x:c r="E6" s="23" t="str">
        <x:v>Missing</x:v>
      </x:c>
      <x:c r="F6" s="19" t="str">
        <x:v>No M5, locknut, or nyloc-nut entry found</x:v>
      </x:c>
      <x:c r="G6" s="19" t="str">
        <x:v>Full inventory cross-check</x:v>
      </x:c>
      <x:c r="H6" s="19" t="str">
        <x:v>Confirm whether the XING2 motors include locknuts; otherwise obtain four.</x:v>
      </x:c>
    </x:row>
    <x:row r="7" ht="132" hidden="0" customHeight="1">
      <x:c r="A7" s="23" t="n">
        <x:v>16</x:v>
      </x:c>
      <x:c r="B7" s="19" t="str">
        <x:v>Wiring and mounting</x:v>
      </x:c>
      <x:c r="C7" s="19" t="str">
        <x:v>8-pin flight-controller-to-ESC harness</x:v>
      </x:c>
      <x:c r="D7" s="19" t="str">
        <x:v>Wire to the verified LUX F765 and Orqa ESC pinouts</x:v>
      </x:c>
      <x:c r="E7" s="23" t="str">
        <x:v>Missing</x:v>
      </x:c>
      <x:c r="F7" s="19" t="str">
        <x:v>No 8-pin or FC-to-ESC harness entry found</x:v>
      </x:c>
      <x:c r="G7" s="19" t="str">
        <x:v>Full inventory cross-check</x:v>
      </x:c>
      <x:c r="H7" s="19" t="str">
        <x:v>Do not assume the pin order matches at both ends; continuity-check every conductor.</x:v>
      </x:c>
    </x:row>
    <x:row r="8" ht="156" hidden="0" customHeight="1">
      <x:c r="A8" s="23" t="n">
        <x:v>20</x:v>
      </x:c>
      <x:c r="B8" s="19" t="str">
        <x:v>Wiring and mounting</x:v>
      </x:c>
      <x:c r="C8" s="19" t="str">
        <x:v>Kapton tape or fishpaper</x:v>
      </x:c>
      <x:c r="D8" s="19" t="str">
        <x:v>Electrical insulation around boards and high-current connections</x:v>
      </x:c>
      <x:c r="E8" s="23" t="str">
        <x:v>Missing</x:v>
      </x:c>
      <x:c r="F8" s="19" t="str">
        <x:v>No Kapton tape or fishpaper entry found</x:v>
      </x:c>
      <x:c r="G8" s="19" t="str">
        <x:v>Full inventory cross-check</x:v>
      </x:c>
      <x:c r="H8" s="19" t="str">
        <x:v>Keep conductive carbon-fiber surfaces isolated from exposed pads and power connections.</x:v>
      </x:c>
    </x:row>
    <x:row r="9" ht="144" hidden="0" customHeight="1">
      <x:c r="A9" s="23" t="n">
        <x:v>22</x:v>
      </x:c>
      <x:c r="B9" s="19" t="str">
        <x:v>Wiring and mounting</x:v>
      </x:c>
      <x:c r="C9" s="19" t="str">
        <x:v>Foam or 3M VHB mounting tape</x:v>
      </x:c>
      <x:c r="D9" s="19" t="str">
        <x:v>Electronics-grade vibration-resistant mounting tape</x:v>
      </x:c>
      <x:c r="E9" s="23" t="str">
        <x:v>Missing</x:v>
      </x:c>
      <x:c r="F9" s="19" t="str">
        <x:v>Generic Alien double-sided tape is listed, but no foam/VHB electronics mounting tape is specified</x:v>
      </x:c>
      <x:c r="G9" s="19" t="str">
        <x:v>Equipment Distribution!A144:D145; A218:D219</x:v>
      </x:c>
      <x:c r="H9" s="19" t="str">
        <x:v>The generic tape entry was not treated as a confirmed equivalent.</x:v>
      </x:c>
    </x:row>
    <x:row r="10" ht="120" hidden="0" customHeight="1">
      <x:c r="A10" s="23" t="n">
        <x:v>23</x:v>
      </x:c>
      <x:c r="B10" s="19" t="str">
        <x:v>Wiring and mounting</x:v>
      </x:c>
      <x:c r="C10" s="19" t="str">
        <x:v>Braided cable sleeve or spiral wrap</x:v>
      </x:c>
      <x:c r="D10" s="19" t="str">
        <x:v>Protect and organize exposed wiring</x:v>
      </x:c>
      <x:c r="E10" s="23" t="str">
        <x:v>Missing</x:v>
      </x:c>
      <x:c r="F10" s="19" t="str">
        <x:v>No braided sleeving, spiral wrap, or wire-loom entry found</x:v>
      </x:c>
      <x:c r="G10" s="19" t="str">
        <x:v>Full inventory cross-check</x:v>
      </x:c>
      <x:c r="H10" s="19" t="str">
        <x:v>Size it for the motor leads and any external wire bundles that need abrasion protection.</x:v>
      </x:c>
    </x:row>
    <x:row r="11" ht="120" hidden="0" customHeight="1">
      <x:c r="A11" s="23" t="n">
        <x:v>26</x:v>
      </x:c>
      <x:c r="B11" s="19" t="str">
        <x:v>Strongly recommended</x:v>
      </x:c>
      <x:c r="C11" s="19" t="str">
        <x:v>Self-powered lost-model buzzer</x:v>
      </x:c>
      <x:c r="D11" s="19" t="str">
        <x:v>Independent battery so it can sound after main-pack separation</x:v>
      </x:c>
      <x:c r="E11" s="23" t="str">
        <x:v>Missing</x:v>
      </x:c>
      <x:c r="F11" s="19" t="str">
        <x:v>Only smoke-stopper alarm buzzers are listed</x:v>
      </x:c>
      <x:c r="G11" s="19" t="str">
        <x:v>Equipment Distribution!A37:D37; A350:D350</x:v>
      </x:c>
      <x:c r="H11" s="19" t="str">
        <x:v>A smoke-stopper alarm does not provide lost-model recovery after a crash.</x:v>
      </x:c>
    </x:row>
    <x:row r="12" ht="120" hidden="0" customHeight="1">
      <x:c r="A12" s="30" t="n">
        <x:v>32</x:v>
      </x:c>
      <x:c r="B12" s="29" t="str">
        <x:v>Strongly recommended</x:v>
      </x:c>
      <x:c r="C12" s="29" t="str">
        <x:v>Propeller balancer</x:v>
      </x:c>
      <x:c r="D12" s="29" t="str">
        <x:v>Suitable for 10-inch three-blade propellers</x:v>
      </x:c>
      <x:c r="E12" s="30" t="str">
        <x:v>Missing</x:v>
      </x:c>
      <x:c r="F12" s="29" t="str">
        <x:v>No propeller-balancer entry found</x:v>
      </x:c>
      <x:c r="G12" s="29" t="str">
        <x:v>Full inventory cross-check</x:v>
      </x:c>
      <x:c r="H12" s="29" t="str">
        <x:v>Use a balancer that supports the propeller hub diameter and weight.</x:v>
      </x:c>
    </x:row>
  </x:sheetData>
  <x:conditionalFormatting sqref="E6:E12">
    <x:cfRule type="containsText" dxfId="15" priority="1" operator="containsText" text="Present"/>
    <x:cfRule type="containsText" dxfId="16" priority="2" operator="containsText" text="Missing"/>
    <x:cfRule type="containsText" dxfId="17" priority="3" operator="containsText" text="Partial"/>
    <x:cfRule type="containsText" dxfId="18" priority="4" operator="containsText" text="Verify"/>
    <x:cfRule type="containsText" dxfId="19" priority="5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8cac2ba9de074a79"/>
  </x:tableParts>
</x:worksheet>
</file>

<file path=xl/worksheets/sheet5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28" hidden="0" customWidth="1"/>
    <x:col min="5" max="5" width="16" hidden="0" customWidth="1"/>
    <x:col min="6" max="6" width="45" hidden="0" customWidth="1"/>
    <x:col min="7" max="7" width="33" hidden="0" customWidth="1"/>
    <x:col min="8" max="8" width="48" hidden="0" customWidth="1"/>
  </x:cols>
  <x:sheetData>
    <x:row r="1" ht="22" customHeight="1">
      <x:c r="A1" s="3" t="str">
        <x:v>Partial matches and specifications to verify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Items with incomplete bundles or possible matches that lack a critical specification.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28" t="str">
        <x:v>ID</x:v>
      </x:c>
      <x:c r="B5" s="28" t="str">
        <x:v>Original category</x:v>
      </x:c>
      <x:c r="C5" s="28" t="str">
        <x:v>Component or material</x:v>
      </x:c>
      <x:c r="D5" s="28" t="str">
        <x:v>Quantity / specification</x:v>
      </x:c>
      <x:c r="E5" s="28" t="str">
        <x:v>Cross-check status</x:v>
      </x:c>
      <x:c r="F5" s="28" t="str">
        <x:v>Spreadsheet match</x:v>
      </x:c>
      <x:c r="G5" s="28" t="str">
        <x:v>Source reference</x:v>
      </x:c>
      <x:c r="H5" s="28" t="str">
        <x:v>Annotation</x:v>
      </x:c>
    </x:row>
    <x:row r="6" ht="144" hidden="0" customHeight="1">
      <x:c r="A6" s="23" t="n">
        <x:v>17</x:v>
      </x:c>
      <x:c r="B6" s="19" t="str">
        <x:v>Wiring and mounting</x:v>
      </x:c>
      <x:c r="C6" s="19" t="str">
        <x:v>M3 FC/ESC mounting hardware</x:v>
      </x:c>
      <x:c r="D6" s="19" t="str">
        <x:v>Standoffs, screws, washers, and locking nuts</x:v>
      </x:c>
      <x:c r="E6" s="23" t="str">
        <x:v>Partial</x:v>
      </x:c>
      <x:c r="F6" s="19" t="str">
        <x:v>M3 screws in several lengths are listed; standoffs, M3 washers, and M3 locking nuts are not</x:v>
      </x:c>
      <x:c r="G6" s="19" t="str">
        <x:v>Equipment Distribution!A210:D215</x:v>
      </x:c>
      <x:c r="H6" s="19" t="str">
        <x:v>Add the missing mounting pieces or verify they are included with the frame/stack.</x:v>
      </x:c>
    </x:row>
    <x:row r="7" ht="120" hidden="0" customHeight="1">
      <x:c r="A7" s="23" t="n">
        <x:v>21</x:v>
      </x:c>
      <x:c r="B7" s="19" t="str">
        <x:v>Wiring and mounting</x:v>
      </x:c>
      <x:c r="C7" s="19" t="str">
        <x:v>Zip ties and adhesive cable anchors</x:v>
      </x:c>
      <x:c r="D7" s="19" t="str">
        <x:v>For strain relief and cable routing</x:v>
      </x:c>
      <x:c r="E7" s="23" t="str">
        <x:v>Partial</x:v>
      </x:c>
      <x:c r="F7" s="19" t="str">
        <x:v>Several zip-tie entries are listed; adhesive cable anchors/tie mounts are not</x:v>
      </x:c>
      <x:c r="G7" s="19" t="str">
        <x:v>Equipment Distribution!A147:D147; A226:D226</x:v>
      </x:c>
      <x:c r="H7" s="19" t="str">
        <x:v>Use anchors only where they cannot loosen into a propeller path.</x:v>
      </x:c>
    </x:row>
    <x:row r="8" ht="120" hidden="0" customHeight="1">
      <x:c r="A8" s="23" t="n">
        <x:v>24</x:v>
      </x:c>
      <x:c r="B8" s="19" t="str">
        <x:v>Wiring and mounting</x:v>
      </x:c>
      <x:c r="C8" s="19" t="str">
        <x:v>Blue removable threadlocker</x:v>
      </x:c>
      <x:c r="D8" s="19" t="str">
        <x:v>Medium-strength removable formulation</x:v>
      </x:c>
      <x:c r="E8" s="23" t="str">
        <x:v>Verify</x:v>
      </x:c>
      <x:c r="F8" s="19" t="str">
        <x:v>Inventory lists only “Loc-tite,” without color or strength</x:v>
      </x:c>
      <x:c r="G8" s="19" t="str">
        <x:v>Equipment Distribution!A227:D227</x:v>
      </x:c>
      <x:c r="H8" s="19" t="str">
        <x:v>Confirm it is removable blue threadlocker before using it on metal-to-metal fasteners.</x:v>
      </x:c>
    </x:row>
    <x:row r="9" ht="156" hidden="0" customHeight="1">
      <x:c r="A9" s="30" t="n">
        <x:v>25</x:v>
      </x:c>
      <x:c r="B9" s="29" t="str">
        <x:v>Wiring and mounting</x:v>
      </x:c>
      <x:c r="C9" s="29" t="str">
        <x:v>Equipment mounts</x:v>
      </x:c>
      <x:c r="D9" s="29" t="str">
        <x:v>GPS, ELRS antennas, Raspberry Pi, and Pi camera</x:v>
      </x:c>
      <x:c r="E9" s="30" t="str">
        <x:v>Partial</x:v>
      </x:c>
      <x:c r="F9" s="29" t="str">
        <x:v>ELRS antenna and standard camera mounts are listed; dedicated GPS, Pi, and Pi-camera mounts are not</x:v>
      </x:c>
      <x:c r="G9" s="29" t="str">
        <x:v>Equipment Distribution!A57:D59; A418:D418</x:v>
      </x:c>
      <x:c r="H9" s="29" t="str">
        <x:v>The spreadsheet also lists 3D printers and filament, so the missing mounts may be fabricated.</x:v>
      </x:c>
    </x:row>
  </x:sheetData>
  <x:conditionalFormatting sqref="E6:E9">
    <x:cfRule type="containsText" dxfId="20" priority="1" operator="containsText" text="Present"/>
    <x:cfRule type="containsText" dxfId="21" priority="2" operator="containsText" text="Missing"/>
    <x:cfRule type="containsText" dxfId="22" priority="3" operator="containsText" text="Partial"/>
    <x:cfRule type="containsText" dxfId="23" priority="4" operator="containsText" text="Verify"/>
    <x:cfRule type="containsText" dxfId="24" priority="5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1e9f054825cf47ea"/>
  </x:tableParts>
</x:worksheet>
</file>

<file path=xl/worksheets/sheet6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28" hidden="0" customWidth="1"/>
    <x:col min="5" max="5" width="16" hidden="0" customWidth="1"/>
    <x:col min="6" max="6" width="45" hidden="0" customWidth="1"/>
    <x:col min="7" max="7" width="33" hidden="0" customWidth="1"/>
    <x:col min="8" max="8" width="48" hidden="0" customWidth="1"/>
  </x:cols>
  <x:sheetData>
    <x:row r="1" ht="22" customHeight="1">
      <x:c r="A1" s="3" t="str">
        <x:v>Conditional item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Not listed, but needed only when the stated condition applies.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28" t="str">
        <x:v>ID</x:v>
      </x:c>
      <x:c r="B5" s="28" t="str">
        <x:v>Original category</x:v>
      </x:c>
      <x:c r="C5" s="28" t="str">
        <x:v>Component or material</x:v>
      </x:c>
      <x:c r="D5" s="28" t="str">
        <x:v>Quantity / specification</x:v>
      </x:c>
      <x:c r="E5" s="28" t="str">
        <x:v>Cross-check status</x:v>
      </x:c>
      <x:c r="F5" s="28" t="str">
        <x:v>Spreadsheet match</x:v>
      </x:c>
      <x:c r="G5" s="28" t="str">
        <x:v>Source reference</x:v>
      </x:c>
      <x:c r="H5" s="28" t="str">
        <x:v>Annotation</x:v>
      </x:c>
    </x:row>
    <x:row r="6" ht="156" hidden="0" customHeight="1">
      <x:c r="A6" s="30" t="n">
        <x:v>35</x:v>
      </x:c>
      <x:c r="B6" s="29" t="str">
        <x:v>Strongly recommended</x:v>
      </x:c>
      <x:c r="C6" s="29" t="str">
        <x:v>FAA-approved Remote ID module</x:v>
      </x:c>
      <x:c r="D6" s="29" t="str">
        <x:v>Only if required for the aircraft and operation</x:v>
      </x:c>
      <x:c r="E6" s="30" t="str">
        <x:v>Conditional</x:v>
      </x:c>
      <x:c r="F6" s="29" t="str">
        <x:v>No Remote ID module entry found</x:v>
      </x:c>
      <x:c r="G6" s="29" t="str">
        <x:v>Full inventory cross-check</x:v>
      </x:c>
      <x:c r="H6" s="29" t="str">
        <x:v>Determine whether the build and intended operation require Remote ID before purchase or installation.</x:v>
      </x:c>
    </x:row>
  </x:sheetData>
  <x:conditionalFormatting sqref="E6:E6">
    <x:cfRule type="containsText" dxfId="25" priority="1" operator="containsText" text="Present"/>
    <x:cfRule type="containsText" dxfId="26" priority="2" operator="containsText" text="Missing"/>
    <x:cfRule type="containsText" dxfId="27" priority="3" operator="containsText" text="Partial"/>
    <x:cfRule type="containsText" dxfId="28" priority="4" operator="containsText" text="Verify"/>
    <x:cfRule type="containsText" dxfId="29" priority="5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dc1dbbb41d884345"/>
  </x:tableParts>
</x:worksheet>
</file>